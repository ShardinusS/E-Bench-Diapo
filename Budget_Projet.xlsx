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C:\Users\hd\Desktop\Ebench a mettre a jour\"/>
    </mc:Choice>
  </mc:AlternateContent>
  <xr:revisionPtr revIDLastSave="0" documentId="13_ncr:1_{FA48218C-3C7B-46A2-AC98-14C02BC58179}" xr6:coauthVersionLast="36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udget Total (Tout Neuf)" sheetId="1" r:id="rId1"/>
    <sheet name="Coût Réel (Déjà Possédé)" sheetId="2" r:id="rId2"/>
    <sheet name="Sources &amp; Fournisseurs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2" l="1"/>
  <c r="H25" i="2"/>
  <c r="I25" i="2" s="1"/>
  <c r="E25" i="2"/>
  <c r="H24" i="2"/>
  <c r="I24" i="2" s="1"/>
  <c r="E24" i="2"/>
  <c r="H23" i="2"/>
  <c r="I23" i="2" s="1"/>
  <c r="E23" i="2"/>
  <c r="H22" i="2"/>
  <c r="I22" i="2" s="1"/>
  <c r="E22" i="2"/>
  <c r="H21" i="2"/>
  <c r="I21" i="2" s="1"/>
  <c r="E21" i="2"/>
  <c r="E20" i="2"/>
  <c r="H20" i="2" s="1"/>
  <c r="I20" i="2" s="1"/>
  <c r="H19" i="2"/>
  <c r="I19" i="2" s="1"/>
  <c r="E19" i="2"/>
  <c r="H17" i="2"/>
  <c r="I17" i="2" s="1"/>
  <c r="E17" i="2"/>
  <c r="H16" i="2"/>
  <c r="I16" i="2" s="1"/>
  <c r="E16" i="2"/>
  <c r="H15" i="2"/>
  <c r="I15" i="2" s="1"/>
  <c r="E15" i="2"/>
  <c r="H14" i="2"/>
  <c r="I14" i="2" s="1"/>
  <c r="E14" i="2"/>
  <c r="I13" i="2"/>
  <c r="H13" i="2"/>
  <c r="E13" i="2"/>
  <c r="E12" i="2"/>
  <c r="H12" i="2" s="1"/>
  <c r="I12" i="2" s="1"/>
  <c r="E11" i="2"/>
  <c r="H11" i="2" s="1"/>
  <c r="I11" i="2" s="1"/>
  <c r="H10" i="2"/>
  <c r="I10" i="2" s="1"/>
  <c r="E10" i="2"/>
  <c r="H9" i="2"/>
  <c r="I9" i="2" s="1"/>
  <c r="E9" i="2"/>
  <c r="I7" i="2"/>
  <c r="H7" i="2"/>
  <c r="E7" i="2"/>
  <c r="E6" i="2"/>
  <c r="H6" i="2" s="1"/>
  <c r="I6" i="2" s="1"/>
  <c r="E5" i="2"/>
  <c r="H5" i="2" s="1"/>
  <c r="G25" i="1"/>
  <c r="E25" i="1"/>
  <c r="E24" i="1"/>
  <c r="G24" i="1" s="1"/>
  <c r="E23" i="1"/>
  <c r="G23" i="1" s="1"/>
  <c r="G22" i="1"/>
  <c r="E22" i="1"/>
  <c r="E21" i="1"/>
  <c r="G21" i="1" s="1"/>
  <c r="E20" i="1"/>
  <c r="G20" i="1" s="1"/>
  <c r="E19" i="1"/>
  <c r="G19" i="1" s="1"/>
  <c r="E17" i="1"/>
  <c r="G17" i="1" s="1"/>
  <c r="G16" i="1"/>
  <c r="E16" i="1"/>
  <c r="E15" i="1"/>
  <c r="G15" i="1" s="1"/>
  <c r="E14" i="1"/>
  <c r="G14" i="1" s="1"/>
  <c r="G13" i="1"/>
  <c r="E13" i="1"/>
  <c r="E12" i="1"/>
  <c r="G12" i="1" s="1"/>
  <c r="E11" i="1"/>
  <c r="G11" i="1" s="1"/>
  <c r="E10" i="1"/>
  <c r="G10" i="1" s="1"/>
  <c r="E9" i="1"/>
  <c r="G9" i="1" s="1"/>
  <c r="G7" i="1"/>
  <c r="E7" i="1"/>
  <c r="E6" i="1"/>
  <c r="G6" i="1" s="1"/>
  <c r="E5" i="1"/>
  <c r="G5" i="1" s="1"/>
  <c r="H28" i="2" l="1"/>
  <c r="H30" i="2" s="1"/>
  <c r="I5" i="2"/>
  <c r="I29" i="2" s="1"/>
  <c r="G29" i="1"/>
  <c r="E28" i="1"/>
</calcChain>
</file>

<file path=xl/sharedStrings.xml><?xml version="1.0" encoding="utf-8"?>
<sst xmlns="http://schemas.openxmlformats.org/spreadsheetml/2006/main" count="329" uniqueCount="169">
  <si>
    <t>BUDGET PROJET – SIMULATION ACHAT TOUT NEUF</t>
  </si>
  <si>
    <t>Description / Composant</t>
  </si>
  <si>
    <t>Qté</t>
  </si>
  <si>
    <t>Unité</t>
  </si>
  <si>
    <t>P.U. HT (€)</t>
  </si>
  <si>
    <t>Montant HT (€)</t>
  </si>
  <si>
    <t>TVA %</t>
  </si>
  <si>
    <t>Montant TTC (€)</t>
  </si>
  <si>
    <t>Remarques</t>
  </si>
  <si>
    <t>Sciage Douglas 2m × 145×45 mm raboté 4 faces</t>
  </si>
  <si>
    <t>U</t>
  </si>
  <si>
    <t>Source: Devis DVS1193</t>
  </si>
  <si>
    <t>Sciage Douglas 2m × 100×100 mm raboté 4 faces</t>
  </si>
  <si>
    <t>Planches Douglas raboté à 20 mm</t>
  </si>
  <si>
    <t>m²</t>
  </si>
  <si>
    <t>Raspberry Pi 3B</t>
  </si>
  <si>
    <t>Prix indicatif marché 2026</t>
  </si>
  <si>
    <t>Batterie GEL 100 Ah 12V</t>
  </si>
  <si>
    <t>Prises USB-C (×2) + USB-A (×2) – module</t>
  </si>
  <si>
    <t>Charnières en métal (lot)</t>
  </si>
  <si>
    <t>lot</t>
  </si>
  <si>
    <t>Câbles (lot assortiment)</t>
  </si>
  <si>
    <t>Panneau solaire 500 Wc monocristallin</t>
  </si>
  <si>
    <t>Contrôleur MPPT Victron 150|35</t>
  </si>
  <si>
    <t>Capteur PIR HC-SR501 (GPIO direct)</t>
  </si>
  <si>
    <t>Écran tactile 7" IPS</t>
  </si>
  <si>
    <t>Convertisseur DC-DC 12V→5V 3A (Raspberry Pi + écran)</t>
  </si>
  <si>
    <t>Prix indicatif marché 2026 – RS Components / Gotronic</t>
  </si>
  <si>
    <t>Convertisseur DC-DC 12V→5V 4A (ports USB charge)</t>
  </si>
  <si>
    <t>Équerres inox + vis inox (structure bois)</t>
  </si>
  <si>
    <t>Prix indicatif marché 2026 – Würth / Leroy Merlin pro</t>
  </si>
  <si>
    <t>Platines acier galvanisé + boulons inox (fixation sol)</t>
  </si>
  <si>
    <t>Prix indicatif marché 2026 – Würth / RS Components</t>
  </si>
  <si>
    <t>Bornes de connexion, cosses et câbles divers</t>
  </si>
  <si>
    <t>Prix indicatif marché 2026 – RS Components / Conrad</t>
  </si>
  <si>
    <t>Câble souple 6mm² (lot 5m) batterie→MPPT</t>
  </si>
  <si>
    <t>Prix indicatif marché 2026 – Solaris-Store / Conrad</t>
  </si>
  <si>
    <t>Connecteurs MC4 (paire ×5)</t>
  </si>
  <si>
    <t>Prix indicatif marché 2026 – Solaris-Store / Allo.Solar</t>
  </si>
  <si>
    <t>Total TVA</t>
  </si>
  <si>
    <t>TOTAL TTC</t>
  </si>
  <si>
    <t>BUDGET PROJET – COÛT RÉEL (PRISE EN COMPTE DU DÉJÀ POSSÉDÉ)</t>
  </si>
  <si>
    <t>➤  Colonne "Déjà possédé ?" : mettre OUI si l'article était déjà disponible – le coût réel sera automatiquement calculé.</t>
  </si>
  <si>
    <t>Déjà possédé ?</t>
  </si>
  <si>
    <t>Coût HT réel (€)</t>
  </si>
  <si>
    <t>Coût TTC réel (€)</t>
  </si>
  <si>
    <t>NON</t>
  </si>
  <si>
    <t>OUI</t>
  </si>
  <si>
    <t>Prix indicatif 2026</t>
  </si>
  <si>
    <t>Coût total HT si tout acheté</t>
  </si>
  <si>
    <t>Coût réel HT (à payer)</t>
  </si>
  <si>
    <t>Coût réel TTC (à payer)</t>
  </si>
  <si>
    <t>Économie réalisée (HT)</t>
  </si>
  <si>
    <t>Composant</t>
  </si>
  <si>
    <t>Fournisseur</t>
  </si>
  <si>
    <t>Site Web</t>
  </si>
  <si>
    <t>Lien Produit Direct</t>
  </si>
  <si>
    <t>Prix indicatif HT</t>
  </si>
  <si>
    <t>Conditions établissements</t>
  </si>
  <si>
    <t>Notes</t>
  </si>
  <si>
    <t>Gotronic</t>
  </si>
  <si>
    <t>https://www.gotronic.fr</t>
  </si>
  <si>
    <t>https://www.gotronic.fr/art-carte-raspberry-pi-3-b-24532.htm</t>
  </si>
  <si>
    <t>~35 €</t>
  </si>
  <si>
    <t>Mandat administratif sur bon de commande</t>
  </si>
  <si>
    <t>Fournisseur historique établissements EN – stock France</t>
  </si>
  <si>
    <t>Capteur PIR HC-SR501 (GPIO)</t>
  </si>
  <si>
    <t>https://www.gotronic.fr/art-detecteur-de-mouvement-pir-sbc-pir-32848.htm</t>
  </si>
  <si>
    <t>~5–8 €</t>
  </si>
  <si>
    <t>Modèle SBC-PIR Joy-It compatible GPIO Raspberry Pi 3B direct</t>
  </si>
  <si>
    <t>https://www.gotronic.fr/art-ecran-tactile-7-27-27-hdmi-46521.htm</t>
  </si>
  <si>
    <t>~60–75 €</t>
  </si>
  <si>
    <t>Écran IPS 7" 1024x600 HDMI – compatible Pi 3B</t>
  </si>
  <si>
    <t>Câbles et connecteurs (lot)</t>
  </si>
  <si>
    <t>https://www.gotronic.fr/cat-fils-et-cables-1155.htm</t>
  </si>
  <si>
    <t>~15–25 €</t>
  </si>
  <si>
    <t>Large gamme câbles GPIO, Dupont, assortiments</t>
  </si>
  <si>
    <t>Prises USB-C/USB-A (module)</t>
  </si>
  <si>
    <t>https://www.gotronic.fr/cat-connecteurs-usb-1263.htm</t>
  </si>
  <si>
    <t>~10–18 €</t>
  </si>
  <si>
    <t>Chercher "module prise USB" dans la catégorie connecteurs</t>
  </si>
  <si>
    <t>Charnières métal (lot)</t>
  </si>
  <si>
    <t>https://www.gotronic.fr/cat-visserie-et-quincaillerie-1374.htm</t>
  </si>
  <si>
    <t>~8–12 €</t>
  </si>
  <si>
    <t>Ou en quincaillerie Leroy Merlin / Würth avec facture</t>
  </si>
  <si>
    <t>Solaris-Store</t>
  </si>
  <si>
    <t>https://www.solaris-store.com</t>
  </si>
  <si>
    <t>https://www.solaris-store.com/8762-panneau-solaire-monocristallin-bi-verre-bi-facial-dualsun-500w.html</t>
  </si>
  <si>
    <t>~200–260 €</t>
  </si>
  <si>
    <t>Devis pro / facture TVA – devis sur demande</t>
  </si>
  <si>
    <t>Spécialiste solaire autonome depuis 2002 – SIRET 442 600 011 – devis lycée possible</t>
  </si>
  <si>
    <t>https://www.solaris-store.com/1881-regulateur-mppt-smartsolar-victron-15035-150v-35a.html</t>
  </si>
  <si>
    <t>~170–200 €</t>
  </si>
  <si>
    <t>Devis pro / facture TVA</t>
  </si>
  <si>
    <t>SmartSolar 150/35 Victron – Bluetooth intégré, garantie 5 ans</t>
  </si>
  <si>
    <t>Allo.Solar</t>
  </si>
  <si>
    <t>https://allo.solar</t>
  </si>
  <si>
    <t>https://allo.solar/regulateur-de-charge-35a-mppt-150-35-smartsolar-victron-energy.html</t>
  </si>
  <si>
    <t>~165–195 €</t>
  </si>
  <si>
    <t>Facture TVA – compte pro disponible</t>
  </si>
  <si>
    <t>Alternative : Allo.Solar, vendeur professionnel BtoB</t>
  </si>
  <si>
    <t>RS Components</t>
  </si>
  <si>
    <t>https://fr.rs-online.com</t>
  </si>
  <si>
    <t>https://fr.rs-online.com/web/p/batteries-au-plomb/8838866</t>
  </si>
  <si>
    <t>~100–130 €</t>
  </si>
  <si>
    <t>Compte établissement scolaire – facture TVA – 30 jours</t>
  </si>
  <si>
    <t>RS Pro : batterie plomb GEL 100Ah cycle profond – idéal solaire</t>
  </si>
  <si>
    <t>https://www.solaris-store.com/cat-batteries-solaires-gel-victron-3.html</t>
  </si>
  <si>
    <t>~110–140 €</t>
  </si>
  <si>
    <t>Gamme batteries solaires GEL Victron ou équivalent</t>
  </si>
  <si>
    <t>Sciage Douglas + Planches</t>
  </si>
  <si>
    <t>SAS PATTE et Fils</t>
  </si>
  <si>
    <t>Devis DVS1193 (19/03/2026)</t>
  </si>
  <si>
    <t>Devis sur papier – référence DVS1193</t>
  </si>
  <si>
    <t>~360 € HT</t>
  </si>
  <si>
    <t>Fournisseur local – devis signé</t>
  </si>
  <si>
    <t>Matériaux déjà devisés – paiement sur bon de commande établissement</t>
  </si>
  <si>
    <t>Composants divers (câbles, connecteurs…)</t>
  </si>
  <si>
    <t>—</t>
  </si>
  <si>
    <t>Compte établissement – facture TVA – 30 jours fin de mois</t>
  </si>
  <si>
    <t>RS Components : distributeur officiel pour écoles/lycées/IUT. Ouverture compte gratuite</t>
  </si>
  <si>
    <t>Conrad Electronic</t>
  </si>
  <si>
    <t>https://www.conrad.fr</t>
  </si>
  <si>
    <t>Facture TVA – bon de commande établissement accepté</t>
  </si>
  <si>
    <t>Conrad : distributeur électronique grand public et professionnel</t>
  </si>
  <si>
    <t>Convertisseur DC-DC 12V→5V 3A</t>
  </si>
  <si>
    <t>RS Components / Gotronic</t>
  </si>
  <si>
    <t>https://fr.rs-online.com/web/c/alimentation-electronique/convertisseurs-dc-dc/</t>
  </si>
  <si>
    <t>~10–15 €</t>
  </si>
  <si>
    <t>Compte établissement – facture TVA – 30 jours</t>
  </si>
  <si>
    <t>Convertisseur step-down 12V→5V 3A – alimentation Raspberry Pi + écran</t>
  </si>
  <si>
    <t>Convertisseur DC-DC 12V→5V 4A</t>
  </si>
  <si>
    <t>~12–18 €</t>
  </si>
  <si>
    <t>Convertisseur step-down 12V→5V 4A – alimentation ports USB charge</t>
  </si>
  <si>
    <t>Würth / Leroy Merlin Pro</t>
  </si>
  <si>
    <t>https://www.wurth.fr</t>
  </si>
  <si>
    <t>https://www.wurth.fr/fr/produits/visserie-et-fixation/</t>
  </si>
  <si>
    <t>~15–20 €</t>
  </si>
  <si>
    <t>Compte pro / facture TVA – bon de commande accepté</t>
  </si>
  <si>
    <t>Équerres acier inox + visserie assortie pour assemblage structure bois</t>
  </si>
  <si>
    <t>Platines acier galvanisé + boulons inox</t>
  </si>
  <si>
    <t>Würth / RS Components</t>
  </si>
  <si>
    <t>https://www.wurth.fr/fr/produits/visserie-et-fixation/platines-et-equerres/</t>
  </si>
  <si>
    <t>~18–25 €</t>
  </si>
  <si>
    <t>Compte pro / facture TVA</t>
  </si>
  <si>
    <t>Platines de fixation galvanisées + boulons inox pour ancrage au sol</t>
  </si>
  <si>
    <t>Bornes connexion + cosses + câbles divers</t>
  </si>
  <si>
    <t>RS Components / Conrad</t>
  </si>
  <si>
    <t>https://fr.rs-online.com/web/c/connecteurs/bornes-de-connexion/</t>
  </si>
  <si>
    <t>Bornes à vis, cosses à sertir, câbles assortis pour câblage électrique</t>
  </si>
  <si>
    <t>Solaris-Store / Conrad</t>
  </si>
  <si>
    <t>https://www.solaris-store.com/cat-cables-solaires.html</t>
  </si>
  <si>
    <t>~15–22 €</t>
  </si>
  <si>
    <t>Câble souple cuivre 6mm² rouge+noir – liaison batterie vers contrôleur MPPT</t>
  </si>
  <si>
    <t>Solaris-Store / Allo.Solar</t>
  </si>
  <si>
    <t>https://www.solaris-store.com/cat-connecteurs-mc4.html</t>
  </si>
  <si>
    <t>~6–10 €</t>
  </si>
  <si>
    <t>Connecteurs MC4 mâle/femelle × 5 paires – raccordement panneau solaire</t>
  </si>
  <si>
    <t>CÂBLAGE, CONNECTIQUE &amp; FIXATIONS</t>
  </si>
  <si>
    <t>COMPOSANTS ÉLECTRONIQUES &amp; ÉNERGIE</t>
  </si>
  <si>
    <t>MATÉRIAUX BOIS  (Devis DVS1193 – SAS PATTE et Fils, 19/03/2026)</t>
  </si>
  <si>
    <t>Voir onglet "Sources &amp; Fournisseurs" pour les liens produits et fournisseurs agréés établissements scolaires</t>
  </si>
  <si>
    <t>SECTION ÉLECTRONIQUE &amp; INFORMATIQUE (Gotronic – mandat administratif accepté)</t>
  </si>
  <si>
    <t>SECTION ÉNERGIE SOLAIRE (Solaris-Store &amp; Allo.Solar – devis pro disponibles)</t>
  </si>
  <si>
    <t>SECTION BOIS (Devis déjà en main – SAS PATTE et Fils)</t>
  </si>
  <si>
    <t>FOURNISSEUR GÉNÉRALISTE ÉTABLISSEMENTS : RS Components (compte scolaire)</t>
  </si>
  <si>
    <t>SECTION CÂBLAGE, CONNECTIQUE &amp; FIXATIONS</t>
  </si>
  <si>
    <t>Tous les fournisseurs ci-dessous acceptent les bons de commande et émettent des factures (TVA) pour établissements scolaires et administrations</t>
  </si>
  <si>
    <t>SOURCES &amp; FOURNISSEURS – COMPOSANTS DU 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</si>
</sst>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&quot; €&quot;"/>
    <numFmt numFmtId="166" formatCode="0.0%"/>
  </numFmts>
  <fonts count="20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3E2723"/>
      <name val="Calibri"/>
      <charset val="1"/>
    </font>
    <font>
      <sz val="10"/>
      <color rgb="FF0D2137"/>
      <name val="Calibri"/>
      <charset val="1"/>
    </font>
    <font>
      <sz val="10"/>
      <color rgb="FF0000FF"/>
      <name val="Arial"/>
      <charset val="1"/>
    </font>
    <font>
      <i/>
      <sz val="9"/>
      <color rgb="FF2E7D32"/>
      <name val="Calibri"/>
      <charset val="1"/>
    </font>
    <font>
      <b/>
      <sz val="11"/>
      <color rgb="FFFFFFFF"/>
      <name val="Calibri"/>
      <charset val="1"/>
    </font>
    <font>
      <b/>
      <sz val="12"/>
      <color rgb="FFFFFFFF"/>
      <name val="Calibri"/>
      <charset val="1"/>
    </font>
    <font>
      <i/>
      <sz val="10"/>
      <color rgb="FF1B5E20"/>
      <name val="Calibri"/>
      <charset val="1"/>
    </font>
    <font>
      <sz val="9"/>
      <color rgb="FF212121"/>
      <name val="Calibri"/>
      <charset val="1"/>
    </font>
    <font>
      <u/>
      <sz val="9"/>
      <color rgb="FF0D47A1"/>
      <name val="Calibri"/>
      <charset val="1"/>
    </font>
    <font>
      <sz val="6"/>
      <color rgb="FF0D2137"/>
      <name val="Calibri"/>
      <family val="2"/>
    </font>
    <font>
      <i/>
      <sz val="9"/>
      <color rgb="FF2E7D32"/>
      <name val="Calibri"/>
      <family val="2"/>
    </font>
    <font>
      <b/>
      <sz val="10"/>
      <color rgb="FFFFFFFF"/>
      <name val="Calibri"/>
      <family val="2"/>
    </font>
    <font>
      <i/>
      <sz val="10"/>
      <color rgb="FFF57F17"/>
      <name val="Calibri"/>
      <family val="2"/>
    </font>
    <font>
      <sz val="10"/>
      <color rgb="FF3E2723"/>
      <name val="Calibri"/>
      <family val="2"/>
    </font>
    <font>
      <sz val="10"/>
      <color rgb="FF0D2137"/>
      <name val="Calibri"/>
      <family val="2"/>
    </font>
    <font>
      <sz val="10"/>
      <color theme="1"/>
      <name val="Calibri"/>
      <family val="2"/>
      <charset val="1"/>
    </font>
    <font>
      <sz val="10"/>
      <color rgb="FF0000FF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A1A2E"/>
        <bgColor rgb="FF212121"/>
      </patternFill>
    </fill>
    <fill>
      <patternFill patternType="solid">
        <fgColor rgb="FF37474F"/>
        <bgColor rgb="FF4E342E"/>
      </patternFill>
    </fill>
    <fill>
      <patternFill patternType="solid">
        <fgColor rgb="FF6B4226"/>
        <bgColor rgb="FF5D4037"/>
      </patternFill>
    </fill>
    <fill>
      <patternFill patternType="solid">
        <fgColor rgb="FFFDF0E0"/>
        <bgColor rgb="FFFFF3E0"/>
      </patternFill>
    </fill>
    <fill>
      <patternFill patternType="solid">
        <fgColor rgb="FFFAE2C0"/>
        <bgColor rgb="FFFFE0B2"/>
      </patternFill>
    </fill>
    <fill>
      <patternFill patternType="solid">
        <fgColor rgb="FF1565C0"/>
        <bgColor rgb="FF0D47A1"/>
      </patternFill>
    </fill>
    <fill>
      <patternFill patternType="solid">
        <fgColor rgb="FFE3F2FD"/>
        <bgColor rgb="FFECEFF1"/>
      </patternFill>
    </fill>
    <fill>
      <patternFill patternType="solid">
        <fgColor rgb="FFBBDEFB"/>
        <bgColor rgb="FFC8E6C9"/>
      </patternFill>
    </fill>
    <fill>
      <patternFill patternType="solid">
        <fgColor rgb="FFECEFF1"/>
        <bgColor rgb="FFE8F5E9"/>
      </patternFill>
    </fill>
    <fill>
      <patternFill patternType="solid">
        <fgColor rgb="FFE8F5E9"/>
        <bgColor rgb="FFECEFF1"/>
      </patternFill>
    </fill>
    <fill>
      <patternFill patternType="solid">
        <fgColor rgb="FF0D47A1"/>
        <bgColor rgb="FF283593"/>
      </patternFill>
    </fill>
    <fill>
      <patternFill patternType="solid">
        <fgColor rgb="FFFFF9C4"/>
        <bgColor rgb="FFFFF3E0"/>
      </patternFill>
    </fill>
    <fill>
      <patternFill patternType="solid">
        <fgColor rgb="FFB71C1C"/>
        <bgColor rgb="FF800000"/>
      </patternFill>
    </fill>
    <fill>
      <patternFill patternType="solid">
        <fgColor rgb="FF1B5E20"/>
        <bgColor rgb="FF2E7D32"/>
      </patternFill>
    </fill>
    <fill>
      <patternFill patternType="solid">
        <fgColor rgb="FF283593"/>
        <bgColor rgb="FF0D47A1"/>
      </patternFill>
    </fill>
    <fill>
      <patternFill patternType="solid">
        <fgColor rgb="FF2E7D32"/>
        <bgColor rgb="FF1B5E20"/>
      </patternFill>
    </fill>
    <fill>
      <patternFill patternType="solid">
        <fgColor rgb="FFE65100"/>
        <bgColor rgb="FFF57F17"/>
      </patternFill>
    </fill>
    <fill>
      <patternFill patternType="solid">
        <fgColor rgb="FFFFF3E0"/>
        <bgColor rgb="FFFDF0E0"/>
      </patternFill>
    </fill>
    <fill>
      <patternFill patternType="solid">
        <fgColor rgb="FFFFE0B2"/>
        <bgColor rgb="FFFAE2C0"/>
      </patternFill>
    </fill>
    <fill>
      <patternFill patternType="solid">
        <fgColor rgb="FF4E342E"/>
        <bgColor rgb="FF5D4037"/>
      </patternFill>
    </fill>
    <fill>
      <patternFill patternType="solid">
        <fgColor rgb="FFC8E6C9"/>
        <bgColor rgb="FFBBDEFB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5D4037"/>
      </left>
      <right style="medium">
        <color rgb="FF5D4037"/>
      </right>
      <top style="medium">
        <color rgb="FF5D4037"/>
      </top>
      <bottom style="medium">
        <color rgb="FF5D4037"/>
      </bottom>
      <diagonal/>
    </border>
    <border>
      <left style="medium">
        <color rgb="FF0D47A1"/>
      </left>
      <right style="medium">
        <color rgb="FF0D47A1"/>
      </right>
      <top style="medium">
        <color rgb="FF0D47A1"/>
      </top>
      <bottom style="medium">
        <color rgb="FF0D47A1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/>
      <right/>
      <top style="thin">
        <color rgb="FFA5D6A7"/>
      </top>
      <bottom style="thin">
        <color rgb="FFA5D6A7"/>
      </bottom>
      <diagonal/>
    </border>
    <border>
      <left/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medium">
        <color rgb="FF546E7A"/>
      </left>
      <right style="medium">
        <color rgb="FF546E7A"/>
      </right>
      <top style="medium">
        <color rgb="FF546E7A"/>
      </top>
      <bottom style="medium">
        <color rgb="FF546E7A"/>
      </bottom>
      <diagonal/>
    </border>
    <border>
      <left/>
      <right/>
      <top style="medium">
        <color rgb="FF546E7A"/>
      </top>
      <bottom style="medium">
        <color rgb="FF546E7A"/>
      </bottom>
      <diagonal/>
    </border>
    <border>
      <left/>
      <right style="medium">
        <color rgb="FF546E7A"/>
      </right>
      <top style="medium">
        <color rgb="FF546E7A"/>
      </top>
      <bottom style="medium">
        <color rgb="FF546E7A"/>
      </bottom>
      <diagonal/>
    </border>
    <border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0" fillId="10" borderId="0" xfId="0" applyFill="1"/>
    <xf numFmtId="0" fontId="0" fillId="0" borderId="6" xfId="0" applyBorder="1"/>
    <xf numFmtId="0" fontId="0" fillId="0" borderId="7" xfId="0" applyBorder="1"/>
    <xf numFmtId="0" fontId="7" fillId="7" borderId="8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165" fontId="7" fillId="7" borderId="8" xfId="0" applyNumberFormat="1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left" vertical="center"/>
    </xf>
    <xf numFmtId="0" fontId="1" fillId="12" borderId="8" xfId="0" applyFont="1" applyFill="1" applyBorder="1" applyAlignment="1">
      <alignment horizontal="center" vertical="center"/>
    </xf>
    <xf numFmtId="165" fontId="1" fillId="12" borderId="8" xfId="0" applyNumberFormat="1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left" vertical="center"/>
    </xf>
    <xf numFmtId="165" fontId="7" fillId="16" borderId="8" xfId="0" applyNumberFormat="1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left" vertical="center"/>
    </xf>
    <xf numFmtId="0" fontId="8" fillId="17" borderId="8" xfId="0" applyFont="1" applyFill="1" applyBorder="1" applyAlignment="1">
      <alignment horizontal="center" vertical="center"/>
    </xf>
    <xf numFmtId="165" fontId="8" fillId="17" borderId="8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left" vertical="center" wrapText="1"/>
    </xf>
    <xf numFmtId="0" fontId="10" fillId="19" borderId="2" xfId="0" applyFont="1" applyFill="1" applyBorder="1" applyAlignment="1">
      <alignment horizontal="left" vertical="center" wrapText="1"/>
    </xf>
    <xf numFmtId="0" fontId="11" fillId="19" borderId="2" xfId="0" applyFont="1" applyFill="1" applyBorder="1" applyAlignment="1">
      <alignment horizontal="left" vertical="center" wrapText="1"/>
    </xf>
    <xf numFmtId="0" fontId="10" fillId="20" borderId="2" xfId="0" applyFont="1" applyFill="1" applyBorder="1" applyAlignment="1">
      <alignment horizontal="left" vertical="center" wrapText="1"/>
    </xf>
    <xf numFmtId="0" fontId="11" fillId="20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0" fontId="10" fillId="22" borderId="2" xfId="0" applyFont="1" applyFill="1" applyBorder="1" applyAlignment="1">
      <alignment horizontal="left" vertical="center" wrapText="1"/>
    </xf>
    <xf numFmtId="0" fontId="11" fillId="22" borderId="2" xfId="0" applyFont="1" applyFill="1" applyBorder="1" applyAlignment="1">
      <alignment horizontal="left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 wrapText="1"/>
    </xf>
    <xf numFmtId="4" fontId="17" fillId="8" borderId="2" xfId="0" applyNumberFormat="1" applyFont="1" applyFill="1" applyBorder="1" applyAlignment="1">
      <alignment horizontal="center" vertical="center" wrapText="1"/>
    </xf>
    <xf numFmtId="9" fontId="19" fillId="8" borderId="2" xfId="0" applyNumberFormat="1" applyFont="1" applyFill="1" applyBorder="1" applyAlignment="1">
      <alignment horizontal="center" vertical="center" wrapText="1"/>
    </xf>
    <xf numFmtId="0" fontId="14" fillId="15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3" fontId="19" fillId="8" borderId="2" xfId="0" applyNumberFormat="1" applyFont="1" applyFill="1" applyBorder="1" applyAlignment="1">
      <alignment horizontal="center" vertical="center" wrapText="1"/>
    </xf>
    <xf numFmtId="165" fontId="19" fillId="8" borderId="2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left" vertical="center" wrapText="1"/>
    </xf>
    <xf numFmtId="164" fontId="16" fillId="5" borderId="2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165" fontId="16" fillId="5" borderId="2" xfId="0" applyNumberFormat="1" applyFont="1" applyFill="1" applyBorder="1" applyAlignment="1">
      <alignment horizontal="center" vertical="center" wrapText="1"/>
    </xf>
    <xf numFmtId="166" fontId="16" fillId="5" borderId="2" xfId="0" applyNumberFormat="1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164" fontId="16" fillId="6" borderId="2" xfId="0" applyNumberFormat="1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165" fontId="16" fillId="6" borderId="2" xfId="0" applyNumberFormat="1" applyFont="1" applyFill="1" applyBorder="1" applyAlignment="1">
      <alignment horizontal="center" vertical="center" wrapText="1"/>
    </xf>
    <xf numFmtId="166" fontId="16" fillId="6" borderId="2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left" vertical="center" wrapText="1"/>
    </xf>
    <xf numFmtId="3" fontId="17" fillId="8" borderId="2" xfId="0" applyNumberFormat="1" applyFont="1" applyFill="1" applyBorder="1" applyAlignment="1">
      <alignment horizontal="center" vertical="center" wrapText="1"/>
    </xf>
    <xf numFmtId="165" fontId="17" fillId="8" borderId="2" xfId="0" applyNumberFormat="1" applyFont="1" applyFill="1" applyBorder="1" applyAlignment="1">
      <alignment horizontal="center" vertical="center" wrapText="1"/>
    </xf>
    <xf numFmtId="166" fontId="17" fillId="8" borderId="2" xfId="0" applyNumberFormat="1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left" vertical="center" wrapText="1"/>
    </xf>
    <xf numFmtId="3" fontId="17" fillId="9" borderId="2" xfId="0" applyNumberFormat="1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165" fontId="17" fillId="9" borderId="2" xfId="0" applyNumberFormat="1" applyFont="1" applyFill="1" applyBorder="1" applyAlignment="1">
      <alignment horizontal="center" vertical="center" wrapText="1"/>
    </xf>
    <xf numFmtId="166" fontId="17" fillId="9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3" fillId="5" borderId="2" xfId="0" applyFont="1" applyFill="1" applyBorder="1" applyAlignment="1">
      <alignment horizontal="left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166" fontId="3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165" fontId="3" fillId="6" borderId="2" xfId="0" applyNumberFormat="1" applyFont="1" applyFill="1" applyBorder="1" applyAlignment="1">
      <alignment horizontal="center" vertical="center" wrapText="1"/>
    </xf>
    <xf numFmtId="166" fontId="3" fillId="6" borderId="2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3" fontId="4" fillId="8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165" fontId="4" fillId="8" borderId="2" xfId="0" applyNumberFormat="1" applyFont="1" applyFill="1" applyBorder="1" applyAlignment="1">
      <alignment horizontal="center" vertical="center" wrapText="1"/>
    </xf>
    <xf numFmtId="166" fontId="4" fillId="8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3" fontId="4" fillId="9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165" fontId="4" fillId="9" borderId="2" xfId="0" applyNumberFormat="1" applyFont="1" applyFill="1" applyBorder="1" applyAlignment="1">
      <alignment horizontal="center" vertical="center" wrapText="1"/>
    </xf>
    <xf numFmtId="166" fontId="4" fillId="9" borderId="2" xfId="0" applyNumberFormat="1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4" fontId="4" fillId="8" borderId="2" xfId="0" applyNumberFormat="1" applyFont="1" applyFill="1" applyBorder="1" applyAlignment="1">
      <alignment horizontal="center" vertical="center" wrapText="1"/>
    </xf>
    <xf numFmtId="9" fontId="5" fillId="8" borderId="2" xfId="0" applyNumberFormat="1" applyFont="1" applyFill="1" applyBorder="1" applyAlignment="1">
      <alignment horizontal="center" vertical="center" wrapText="1"/>
    </xf>
    <xf numFmtId="3" fontId="5" fillId="8" borderId="2" xfId="0" applyNumberFormat="1" applyFont="1" applyFill="1" applyBorder="1" applyAlignment="1">
      <alignment horizontal="center" vertical="center" wrapText="1"/>
    </xf>
    <xf numFmtId="165" fontId="5" fillId="8" borderId="2" xfId="0" applyNumberFormat="1" applyFont="1" applyFill="1" applyBorder="1" applyAlignment="1">
      <alignment horizontal="center" vertical="center" wrapText="1"/>
    </xf>
    <xf numFmtId="0" fontId="0" fillId="10" borderId="0" xfId="0" applyFill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7" fillId="7" borderId="8" xfId="0" applyFont="1" applyFill="1" applyBorder="1" applyAlignment="1">
      <alignment horizontal="left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165" fontId="7" fillId="7" borderId="8" xfId="0" applyNumberFormat="1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left" vertical="center" wrapText="1"/>
    </xf>
    <xf numFmtId="0" fontId="1" fillId="12" borderId="8" xfId="0" applyFont="1" applyFill="1" applyBorder="1" applyAlignment="1">
      <alignment horizontal="center" vertical="center" wrapText="1"/>
    </xf>
    <xf numFmtId="165" fontId="1" fillId="12" borderId="8" xfId="0" applyNumberFormat="1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17" fillId="8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left" vertical="center" wrapText="1"/>
    </xf>
    <xf numFmtId="0" fontId="2" fillId="15" borderId="8" xfId="0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left" vertical="center" wrapText="1"/>
    </xf>
    <xf numFmtId="0" fontId="2" fillId="18" borderId="8" xfId="0" applyFont="1" applyFill="1" applyBorder="1" applyAlignment="1">
      <alignment horizontal="left" vertical="center" wrapText="1"/>
    </xf>
    <xf numFmtId="0" fontId="2" fillId="21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F0E0"/>
      <rgbColor rgb="FFFF00FF"/>
      <rgbColor rgb="FF00FFFF"/>
      <rgbColor rgb="FF800000"/>
      <rgbColor rgb="FF1B5E20"/>
      <rgbColor rgb="FF000080"/>
      <rgbColor rgb="FF808000"/>
      <rgbColor rgb="FF800080"/>
      <rgbColor rgb="FF37474F"/>
      <rgbColor rgb="FFB0BEC5"/>
      <rgbColor rgb="FF808080"/>
      <rgbColor rgb="FF9999FF"/>
      <rgbColor rgb="FF6B4226"/>
      <rgbColor rgb="FFFFF9C4"/>
      <rgbColor rgb="FFE3F2FD"/>
      <rgbColor rgb="FF4E342E"/>
      <rgbColor rgb="FFF57F17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3E0"/>
      <rgbColor rgb="FFA5D6A7"/>
      <rgbColor rgb="FFFAE2C0"/>
      <rgbColor rgb="FFECEFF1"/>
      <rgbColor rgb="FFFFE0B2"/>
      <rgbColor rgb="FF0D47A1"/>
      <rgbColor rgb="FF33CCCC"/>
      <rgbColor rgb="FF99CC00"/>
      <rgbColor rgb="FFFFCC00"/>
      <rgbColor rgb="FFF9A825"/>
      <rgbColor rgb="FFE65100"/>
      <rgbColor rgb="FF546E7A"/>
      <rgbColor rgb="FF969696"/>
      <rgbColor rgb="FF0D2137"/>
      <rgbColor rgb="FF2E7D32"/>
      <rgbColor rgb="FF1A1A2E"/>
      <rgbColor rgb="FF212121"/>
      <rgbColor rgb="FFB71C1C"/>
      <rgbColor rgb="FF5D4037"/>
      <rgbColor rgb="FF283593"/>
      <rgbColor rgb="FF3E27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tronic.fr/cat-fils-et-cables-1155.htm" TargetMode="External"/><Relationship Id="rId13" Type="http://schemas.openxmlformats.org/officeDocument/2006/relationships/hyperlink" Target="https://www.solaris-store.com/" TargetMode="External"/><Relationship Id="rId18" Type="http://schemas.openxmlformats.org/officeDocument/2006/relationships/hyperlink" Target="https://allo.solar/regulateur-de-charge-35a-mppt-150-35-smartsolar-victron-energy.html" TargetMode="External"/><Relationship Id="rId26" Type="http://schemas.openxmlformats.org/officeDocument/2006/relationships/hyperlink" Target="https://www.conrad.fr/" TargetMode="External"/><Relationship Id="rId3" Type="http://schemas.openxmlformats.org/officeDocument/2006/relationships/hyperlink" Target="https://www.gotronic.fr/" TargetMode="External"/><Relationship Id="rId21" Type="http://schemas.openxmlformats.org/officeDocument/2006/relationships/hyperlink" Target="https://www.solaris-store.com/" TargetMode="External"/><Relationship Id="rId7" Type="http://schemas.openxmlformats.org/officeDocument/2006/relationships/hyperlink" Target="https://www.gotronic.fr/" TargetMode="External"/><Relationship Id="rId12" Type="http://schemas.openxmlformats.org/officeDocument/2006/relationships/hyperlink" Target="https://www.gotronic.fr/cat-visserie-et-quincaillerie-1374.htm" TargetMode="External"/><Relationship Id="rId17" Type="http://schemas.openxmlformats.org/officeDocument/2006/relationships/hyperlink" Target="https://allo.solar/" TargetMode="External"/><Relationship Id="rId25" Type="http://schemas.openxmlformats.org/officeDocument/2006/relationships/hyperlink" Target="https://www.conrad.fr/" TargetMode="External"/><Relationship Id="rId2" Type="http://schemas.openxmlformats.org/officeDocument/2006/relationships/hyperlink" Target="https://www.gotronic.fr/art-carte-raspberry-pi-3-b-24532.htm" TargetMode="External"/><Relationship Id="rId16" Type="http://schemas.openxmlformats.org/officeDocument/2006/relationships/hyperlink" Target="https://www.solaris-store.com/1881-regulateur-mppt-smartsolar-victron-15035-150v-35a.html" TargetMode="External"/><Relationship Id="rId20" Type="http://schemas.openxmlformats.org/officeDocument/2006/relationships/hyperlink" Target="https://fr.rs-online.com/web/p/batteries-au-plomb/8838866" TargetMode="External"/><Relationship Id="rId1" Type="http://schemas.openxmlformats.org/officeDocument/2006/relationships/hyperlink" Target="https://www.gotronic.fr/" TargetMode="External"/><Relationship Id="rId6" Type="http://schemas.openxmlformats.org/officeDocument/2006/relationships/hyperlink" Target="https://www.gotronic.fr/art-ecran-tactile-7-27-27-hdmi-46521.htm" TargetMode="External"/><Relationship Id="rId11" Type="http://schemas.openxmlformats.org/officeDocument/2006/relationships/hyperlink" Target="https://www.gotronic.fr/" TargetMode="External"/><Relationship Id="rId24" Type="http://schemas.openxmlformats.org/officeDocument/2006/relationships/hyperlink" Target="https://fr.rs-online.com/" TargetMode="External"/><Relationship Id="rId5" Type="http://schemas.openxmlformats.org/officeDocument/2006/relationships/hyperlink" Target="https://www.gotronic.fr/" TargetMode="External"/><Relationship Id="rId15" Type="http://schemas.openxmlformats.org/officeDocument/2006/relationships/hyperlink" Target="https://www.solaris-store.com/" TargetMode="External"/><Relationship Id="rId23" Type="http://schemas.openxmlformats.org/officeDocument/2006/relationships/hyperlink" Target="https://fr.rs-online.com/" TargetMode="External"/><Relationship Id="rId10" Type="http://schemas.openxmlformats.org/officeDocument/2006/relationships/hyperlink" Target="https://www.gotronic.fr/cat-connecteurs-usb-1263.htm" TargetMode="External"/><Relationship Id="rId19" Type="http://schemas.openxmlformats.org/officeDocument/2006/relationships/hyperlink" Target="https://fr.rs-online.com/" TargetMode="External"/><Relationship Id="rId4" Type="http://schemas.openxmlformats.org/officeDocument/2006/relationships/hyperlink" Target="https://www.gotronic.fr/art-detecteur-de-mouvement-pir-sbc-pir-32848.htm" TargetMode="External"/><Relationship Id="rId9" Type="http://schemas.openxmlformats.org/officeDocument/2006/relationships/hyperlink" Target="https://www.gotronic.fr/" TargetMode="External"/><Relationship Id="rId14" Type="http://schemas.openxmlformats.org/officeDocument/2006/relationships/hyperlink" Target="https://www.solaris-store.com/8762-panneau-solaire-monocristallin-bi-verre-bi-facial-dualsun-500w.html" TargetMode="External"/><Relationship Id="rId22" Type="http://schemas.openxmlformats.org/officeDocument/2006/relationships/hyperlink" Target="https://www.solaris-store.com/cat-batteries-solaires-gel-victron-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Normal="100" workbookViewId="0">
      <pane ySplit="3" topLeftCell="A4" activePane="bottomLeft" state="frozen"/>
      <selection pane="bottomLeft" activeCell="A24" sqref="A24"/>
    </sheetView>
  </sheetViews>
  <sheetFormatPr baseColWidth="10" defaultColWidth="8.7109375" defaultRowHeight="15" x14ac:dyDescent="0.25"/>
  <cols>
    <col min="1" max="1" width="42" style="63" customWidth="1"/>
    <col min="2" max="2" width="7" style="63" customWidth="1"/>
    <col min="3" max="3" width="8" style="63" customWidth="1"/>
    <col min="4" max="5" width="14" style="63" customWidth="1"/>
    <col min="6" max="6" width="9" style="63" customWidth="1"/>
    <col min="7" max="7" width="16" style="63" customWidth="1"/>
    <col min="8" max="8" width="30" style="63" customWidth="1"/>
    <col min="9" max="16384" width="8.7109375" style="63"/>
  </cols>
  <sheetData>
    <row r="1" spans="1:8" ht="36" customHeight="1" x14ac:dyDescent="0.25">
      <c r="A1" s="103" t="s">
        <v>0</v>
      </c>
      <c r="B1" s="103"/>
      <c r="C1" s="103"/>
      <c r="D1" s="103"/>
      <c r="E1" s="103"/>
      <c r="F1" s="103"/>
      <c r="G1" s="103"/>
      <c r="H1" s="103"/>
    </row>
    <row r="2" spans="1:8" ht="21.75" customHeight="1" x14ac:dyDescent="0.25"/>
    <row r="3" spans="1:8" ht="27.7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4" customHeight="1" x14ac:dyDescent="0.25">
      <c r="A4" s="104" t="s">
        <v>160</v>
      </c>
      <c r="B4" s="104"/>
      <c r="C4" s="104"/>
      <c r="D4" s="104"/>
      <c r="E4" s="104"/>
      <c r="F4" s="104"/>
      <c r="G4" s="104"/>
      <c r="H4" s="104"/>
    </row>
    <row r="5" spans="1:8" ht="21.75" customHeight="1" x14ac:dyDescent="0.25">
      <c r="A5" s="64" t="s">
        <v>9</v>
      </c>
      <c r="B5" s="65">
        <v>9</v>
      </c>
      <c r="C5" s="66" t="s">
        <v>10</v>
      </c>
      <c r="D5" s="67">
        <v>15.5</v>
      </c>
      <c r="E5" s="67">
        <f>B5*D5</f>
        <v>139.5</v>
      </c>
      <c r="F5" s="68">
        <v>0.2</v>
      </c>
      <c r="G5" s="67">
        <f>E5*(1+F5)</f>
        <v>167.4</v>
      </c>
      <c r="H5" s="66" t="s">
        <v>11</v>
      </c>
    </row>
    <row r="6" spans="1:8" ht="21.75" customHeight="1" x14ac:dyDescent="0.25">
      <c r="A6" s="69" t="s">
        <v>12</v>
      </c>
      <c r="B6" s="70">
        <v>4</v>
      </c>
      <c r="C6" s="71" t="s">
        <v>10</v>
      </c>
      <c r="D6" s="72">
        <v>23</v>
      </c>
      <c r="E6" s="72">
        <f>B6*D6</f>
        <v>92</v>
      </c>
      <c r="F6" s="73">
        <v>0.2</v>
      </c>
      <c r="G6" s="72">
        <f>E6*(1+F6)</f>
        <v>110.39999999999999</v>
      </c>
      <c r="H6" s="71" t="s">
        <v>11</v>
      </c>
    </row>
    <row r="7" spans="1:8" ht="21.75" customHeight="1" x14ac:dyDescent="0.25">
      <c r="A7" s="64" t="s">
        <v>13</v>
      </c>
      <c r="B7" s="65">
        <v>5.4</v>
      </c>
      <c r="C7" s="66" t="s">
        <v>14</v>
      </c>
      <c r="D7" s="67">
        <v>23.8</v>
      </c>
      <c r="E7" s="67">
        <f>B7*D7</f>
        <v>128.52000000000001</v>
      </c>
      <c r="F7" s="68">
        <v>0.2</v>
      </c>
      <c r="G7" s="67">
        <f>E7*(1+F7)</f>
        <v>154.22400000000002</v>
      </c>
      <c r="H7" s="66" t="s">
        <v>11</v>
      </c>
    </row>
    <row r="8" spans="1:8" ht="24" customHeight="1" x14ac:dyDescent="0.25">
      <c r="A8" s="105" t="s">
        <v>159</v>
      </c>
      <c r="B8" s="105"/>
      <c r="C8" s="105"/>
      <c r="D8" s="105"/>
      <c r="E8" s="105"/>
      <c r="F8" s="105"/>
      <c r="G8" s="105"/>
      <c r="H8" s="105"/>
    </row>
    <row r="9" spans="1:8" ht="21.75" customHeight="1" x14ac:dyDescent="0.25">
      <c r="A9" s="75" t="s">
        <v>15</v>
      </c>
      <c r="B9" s="76">
        <v>1</v>
      </c>
      <c r="C9" s="77" t="s">
        <v>10</v>
      </c>
      <c r="D9" s="78">
        <v>35</v>
      </c>
      <c r="E9" s="78">
        <f t="shared" ref="E9:E17" si="0">B9*D9</f>
        <v>35</v>
      </c>
      <c r="F9" s="79">
        <v>0.2</v>
      </c>
      <c r="G9" s="78">
        <f t="shared" ref="G9:G17" si="1">E9*(1+F9)</f>
        <v>42</v>
      </c>
      <c r="H9" s="77" t="s">
        <v>16</v>
      </c>
    </row>
    <row r="10" spans="1:8" ht="21.75" customHeight="1" x14ac:dyDescent="0.25">
      <c r="A10" s="80" t="s">
        <v>17</v>
      </c>
      <c r="B10" s="81">
        <v>1</v>
      </c>
      <c r="C10" s="82" t="s">
        <v>10</v>
      </c>
      <c r="D10" s="83">
        <v>110</v>
      </c>
      <c r="E10" s="83">
        <f t="shared" si="0"/>
        <v>110</v>
      </c>
      <c r="F10" s="84">
        <v>0.2</v>
      </c>
      <c r="G10" s="83">
        <f t="shared" si="1"/>
        <v>132</v>
      </c>
      <c r="H10" s="82" t="s">
        <v>16</v>
      </c>
    </row>
    <row r="11" spans="1:8" ht="21.75" customHeight="1" x14ac:dyDescent="0.25">
      <c r="A11" s="75" t="s">
        <v>18</v>
      </c>
      <c r="B11" s="76">
        <v>1</v>
      </c>
      <c r="C11" s="77" t="s">
        <v>10</v>
      </c>
      <c r="D11" s="78">
        <v>15</v>
      </c>
      <c r="E11" s="78">
        <f t="shared" si="0"/>
        <v>15</v>
      </c>
      <c r="F11" s="79">
        <v>0.2</v>
      </c>
      <c r="G11" s="78">
        <f t="shared" si="1"/>
        <v>18</v>
      </c>
      <c r="H11" s="77" t="s">
        <v>16</v>
      </c>
    </row>
    <row r="12" spans="1:8" ht="21.75" customHeight="1" x14ac:dyDescent="0.25">
      <c r="A12" s="80" t="s">
        <v>19</v>
      </c>
      <c r="B12" s="81">
        <v>1</v>
      </c>
      <c r="C12" s="82" t="s">
        <v>20</v>
      </c>
      <c r="D12" s="83">
        <v>10</v>
      </c>
      <c r="E12" s="83">
        <f t="shared" si="0"/>
        <v>10</v>
      </c>
      <c r="F12" s="84">
        <v>0.2</v>
      </c>
      <c r="G12" s="83">
        <f t="shared" si="1"/>
        <v>12</v>
      </c>
      <c r="H12" s="82" t="s">
        <v>16</v>
      </c>
    </row>
    <row r="13" spans="1:8" ht="21.75" customHeight="1" x14ac:dyDescent="0.25">
      <c r="A13" s="75" t="s">
        <v>21</v>
      </c>
      <c r="B13" s="76">
        <v>1</v>
      </c>
      <c r="C13" s="77" t="s">
        <v>20</v>
      </c>
      <c r="D13" s="78">
        <v>20</v>
      </c>
      <c r="E13" s="78">
        <f t="shared" si="0"/>
        <v>20</v>
      </c>
      <c r="F13" s="79">
        <v>0.2</v>
      </c>
      <c r="G13" s="78">
        <f t="shared" si="1"/>
        <v>24</v>
      </c>
      <c r="H13" s="77" t="s">
        <v>16</v>
      </c>
    </row>
    <row r="14" spans="1:8" ht="21.75" customHeight="1" x14ac:dyDescent="0.25">
      <c r="A14" s="80" t="s">
        <v>22</v>
      </c>
      <c r="B14" s="81">
        <v>1</v>
      </c>
      <c r="C14" s="82" t="s">
        <v>10</v>
      </c>
      <c r="D14" s="83">
        <v>200</v>
      </c>
      <c r="E14" s="83">
        <f t="shared" si="0"/>
        <v>200</v>
      </c>
      <c r="F14" s="84">
        <v>0.2</v>
      </c>
      <c r="G14" s="83">
        <f t="shared" si="1"/>
        <v>240</v>
      </c>
      <c r="H14" s="82" t="s">
        <v>16</v>
      </c>
    </row>
    <row r="15" spans="1:8" ht="21.75" customHeight="1" x14ac:dyDescent="0.25">
      <c r="A15" s="75" t="s">
        <v>23</v>
      </c>
      <c r="B15" s="76">
        <v>1</v>
      </c>
      <c r="C15" s="77" t="s">
        <v>10</v>
      </c>
      <c r="D15" s="78">
        <v>170</v>
      </c>
      <c r="E15" s="78">
        <f t="shared" si="0"/>
        <v>170</v>
      </c>
      <c r="F15" s="79">
        <v>0.2</v>
      </c>
      <c r="G15" s="78">
        <f t="shared" si="1"/>
        <v>204</v>
      </c>
      <c r="H15" s="77" t="s">
        <v>16</v>
      </c>
    </row>
    <row r="16" spans="1:8" ht="21.75" customHeight="1" x14ac:dyDescent="0.25">
      <c r="A16" s="80" t="s">
        <v>24</v>
      </c>
      <c r="B16" s="81">
        <v>1</v>
      </c>
      <c r="C16" s="82" t="s">
        <v>10</v>
      </c>
      <c r="D16" s="83">
        <v>5</v>
      </c>
      <c r="E16" s="83">
        <f t="shared" si="0"/>
        <v>5</v>
      </c>
      <c r="F16" s="84">
        <v>0.2</v>
      </c>
      <c r="G16" s="83">
        <f t="shared" si="1"/>
        <v>6</v>
      </c>
      <c r="H16" s="82" t="s">
        <v>16</v>
      </c>
    </row>
    <row r="17" spans="1:8" ht="21.75" customHeight="1" x14ac:dyDescent="0.25">
      <c r="A17" s="75" t="s">
        <v>25</v>
      </c>
      <c r="B17" s="76">
        <v>1</v>
      </c>
      <c r="C17" s="77" t="s">
        <v>10</v>
      </c>
      <c r="D17" s="78">
        <v>60</v>
      </c>
      <c r="E17" s="78">
        <f t="shared" si="0"/>
        <v>60</v>
      </c>
      <c r="F17" s="79">
        <v>0.2</v>
      </c>
      <c r="G17" s="78">
        <f t="shared" si="1"/>
        <v>72</v>
      </c>
      <c r="H17" s="77" t="s">
        <v>16</v>
      </c>
    </row>
    <row r="18" spans="1:8" ht="21.75" customHeight="1" x14ac:dyDescent="0.25">
      <c r="A18" s="74" t="s">
        <v>158</v>
      </c>
    </row>
    <row r="19" spans="1:8" ht="27.75" customHeight="1" x14ac:dyDescent="0.25">
      <c r="A19" s="102" t="s">
        <v>26</v>
      </c>
      <c r="B19" s="102">
        <v>1</v>
      </c>
      <c r="C19" s="102" t="s">
        <v>10</v>
      </c>
      <c r="D19" s="102">
        <v>12</v>
      </c>
      <c r="E19" s="102">
        <f t="shared" ref="E19:E25" si="2">B19*D19</f>
        <v>12</v>
      </c>
      <c r="F19" s="102">
        <v>0.2</v>
      </c>
      <c r="G19" s="102">
        <f t="shared" ref="G19:G25" si="3">E19*(1+F19)</f>
        <v>14.399999999999999</v>
      </c>
      <c r="H19" s="85" t="s">
        <v>27</v>
      </c>
    </row>
    <row r="20" spans="1:8" ht="27.75" customHeight="1" x14ac:dyDescent="0.25">
      <c r="A20" s="102" t="s">
        <v>28</v>
      </c>
      <c r="B20" s="102">
        <v>1</v>
      </c>
      <c r="C20" s="102" t="s">
        <v>10</v>
      </c>
      <c r="D20" s="102">
        <v>14</v>
      </c>
      <c r="E20" s="86">
        <f t="shared" si="2"/>
        <v>14</v>
      </c>
      <c r="F20" s="87">
        <v>0.2</v>
      </c>
      <c r="G20" s="86">
        <f t="shared" si="3"/>
        <v>16.8</v>
      </c>
      <c r="H20" s="85" t="s">
        <v>27</v>
      </c>
    </row>
    <row r="21" spans="1:8" ht="27.75" customHeight="1" x14ac:dyDescent="0.25">
      <c r="A21" s="102" t="s">
        <v>29</v>
      </c>
      <c r="B21" s="102">
        <v>1</v>
      </c>
      <c r="C21" s="102" t="s">
        <v>20</v>
      </c>
      <c r="D21" s="102">
        <v>18</v>
      </c>
      <c r="E21" s="86">
        <f t="shared" si="2"/>
        <v>18</v>
      </c>
      <c r="F21" s="87">
        <v>0.2</v>
      </c>
      <c r="G21" s="86">
        <f t="shared" si="3"/>
        <v>21.599999999999998</v>
      </c>
      <c r="H21" s="85" t="s">
        <v>30</v>
      </c>
    </row>
    <row r="22" spans="1:8" ht="25.5" x14ac:dyDescent="0.25">
      <c r="A22" s="75" t="s">
        <v>31</v>
      </c>
      <c r="B22" s="88">
        <v>1</v>
      </c>
      <c r="C22" s="77" t="s">
        <v>20</v>
      </c>
      <c r="D22" s="89">
        <v>22</v>
      </c>
      <c r="E22" s="86">
        <f t="shared" si="2"/>
        <v>22</v>
      </c>
      <c r="F22" s="87">
        <v>0.2</v>
      </c>
      <c r="G22" s="86">
        <f t="shared" si="3"/>
        <v>26.4</v>
      </c>
      <c r="H22" s="85" t="s">
        <v>32</v>
      </c>
    </row>
    <row r="23" spans="1:8" x14ac:dyDescent="0.25">
      <c r="A23" s="75" t="s">
        <v>33</v>
      </c>
      <c r="B23" s="88">
        <v>1</v>
      </c>
      <c r="C23" s="77" t="s">
        <v>20</v>
      </c>
      <c r="D23" s="89">
        <v>15</v>
      </c>
      <c r="E23" s="86">
        <f t="shared" si="2"/>
        <v>15</v>
      </c>
      <c r="F23" s="87">
        <v>0.2</v>
      </c>
      <c r="G23" s="86">
        <f t="shared" si="3"/>
        <v>18</v>
      </c>
      <c r="H23" s="85" t="s">
        <v>34</v>
      </c>
    </row>
    <row r="24" spans="1:8" x14ac:dyDescent="0.25">
      <c r="A24" s="75" t="s">
        <v>35</v>
      </c>
      <c r="B24" s="88">
        <v>1</v>
      </c>
      <c r="C24" s="77" t="s">
        <v>20</v>
      </c>
      <c r="D24" s="89">
        <v>18</v>
      </c>
      <c r="E24" s="86">
        <f t="shared" si="2"/>
        <v>18</v>
      </c>
      <c r="F24" s="87">
        <v>0.2</v>
      </c>
      <c r="G24" s="86">
        <f t="shared" si="3"/>
        <v>21.599999999999998</v>
      </c>
      <c r="H24" s="85" t="s">
        <v>36</v>
      </c>
    </row>
    <row r="25" spans="1:8" x14ac:dyDescent="0.25">
      <c r="A25" s="75" t="s">
        <v>37</v>
      </c>
      <c r="B25" s="88">
        <v>1</v>
      </c>
      <c r="C25" s="77" t="s">
        <v>20</v>
      </c>
      <c r="D25" s="89">
        <v>8</v>
      </c>
      <c r="E25" s="86">
        <f t="shared" si="2"/>
        <v>8</v>
      </c>
      <c r="F25" s="87">
        <v>0.2</v>
      </c>
      <c r="G25" s="86">
        <f t="shared" si="3"/>
        <v>9.6</v>
      </c>
      <c r="H25" s="85" t="s">
        <v>38</v>
      </c>
    </row>
    <row r="26" spans="1:8" x14ac:dyDescent="0.25">
      <c r="A26" s="90"/>
      <c r="B26" s="90"/>
      <c r="C26" s="90"/>
      <c r="D26" s="90"/>
      <c r="E26" s="90"/>
      <c r="F26" s="90"/>
      <c r="G26" s="90"/>
      <c r="H26" s="90"/>
    </row>
    <row r="27" spans="1:8" ht="24" x14ac:dyDescent="0.25">
      <c r="A27" s="32" t="s">
        <v>161</v>
      </c>
      <c r="B27" s="91"/>
      <c r="C27" s="91"/>
      <c r="D27" s="91"/>
      <c r="E27" s="91"/>
      <c r="F27" s="91"/>
      <c r="G27" s="92"/>
      <c r="H27" s="33"/>
    </row>
    <row r="28" spans="1:8" x14ac:dyDescent="0.25">
      <c r="A28" s="93" t="s">
        <v>39</v>
      </c>
      <c r="B28" s="94"/>
      <c r="C28" s="94"/>
      <c r="D28" s="95"/>
      <c r="E28" s="96">
        <f>SUM(G5,G6,G7,G9,G10,G11,G12,G13,G14,G15,G16,G17,G19,G20,G21,G22,G23,G24,G25)-SUM(E5,E6,E7,E9,E10,E11,E12,E13,E14,E15,E16,E17,E19,E20,E21,E22,E23,E24,E25)</f>
        <v>218.40399999999977</v>
      </c>
      <c r="F28" s="97"/>
      <c r="G28" s="97"/>
      <c r="H28" s="97"/>
    </row>
    <row r="29" spans="1:8" ht="17.25" x14ac:dyDescent="0.25">
      <c r="A29" s="98" t="s">
        <v>40</v>
      </c>
      <c r="B29" s="94"/>
      <c r="C29" s="94"/>
      <c r="D29" s="95"/>
      <c r="E29" s="99"/>
      <c r="F29" s="99"/>
      <c r="G29" s="100">
        <f>SUM(G5,G6,G7,G9,G10,G11,G12,G13,G14,G15,G16,G17,G19,G20,G21,G22,G23,G24,G25)</f>
        <v>1310.4239999999998</v>
      </c>
      <c r="H29" s="99"/>
    </row>
  </sheetData>
  <mergeCells count="6">
    <mergeCell ref="A21:D21"/>
    <mergeCell ref="A1:H1"/>
    <mergeCell ref="A4:H4"/>
    <mergeCell ref="A8:H8"/>
    <mergeCell ref="A19:G19"/>
    <mergeCell ref="A20:D2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zoomScaleNormal="100" workbookViewId="0">
      <pane ySplit="3" topLeftCell="A4" activePane="bottomLeft" state="frozen"/>
      <selection pane="bottomLeft" activeCell="A11" sqref="A11"/>
    </sheetView>
  </sheetViews>
  <sheetFormatPr baseColWidth="10" defaultColWidth="8.7109375" defaultRowHeight="15" x14ac:dyDescent="0.25"/>
  <cols>
    <col min="1" max="1" width="42" customWidth="1"/>
    <col min="2" max="2" width="7" customWidth="1"/>
    <col min="3" max="3" width="8" customWidth="1"/>
    <col min="4" max="5" width="14" customWidth="1"/>
    <col min="6" max="6" width="9" customWidth="1"/>
    <col min="7" max="7" width="14" customWidth="1"/>
    <col min="8" max="9" width="16" customWidth="1"/>
    <col min="10" max="10" width="30" customWidth="1"/>
  </cols>
  <sheetData>
    <row r="1" spans="1:10" ht="36" customHeight="1" x14ac:dyDescent="0.25">
      <c r="A1" s="107" t="s">
        <v>41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ht="24" customHeight="1" x14ac:dyDescent="0.25">
      <c r="A2" s="108" t="s">
        <v>42</v>
      </c>
      <c r="B2" s="108"/>
      <c r="C2" s="108"/>
      <c r="D2" s="108"/>
      <c r="E2" s="108"/>
      <c r="F2" s="108"/>
      <c r="G2" s="108"/>
      <c r="H2" s="108"/>
      <c r="I2" s="108"/>
      <c r="J2" s="108"/>
    </row>
    <row r="3" spans="1:10" ht="27.75" customHeight="1" x14ac:dyDescent="0.25">
      <c r="A3" s="34" t="s">
        <v>1</v>
      </c>
      <c r="B3" s="34" t="s">
        <v>2</v>
      </c>
      <c r="C3" s="34" t="s">
        <v>3</v>
      </c>
      <c r="D3" s="34" t="s">
        <v>4</v>
      </c>
      <c r="E3" s="34" t="s">
        <v>5</v>
      </c>
      <c r="F3" s="34" t="s">
        <v>6</v>
      </c>
      <c r="G3" s="34" t="s">
        <v>43</v>
      </c>
      <c r="H3" s="34" t="s">
        <v>44</v>
      </c>
      <c r="I3" s="34" t="s">
        <v>45</v>
      </c>
      <c r="J3" s="34" t="s">
        <v>8</v>
      </c>
    </row>
    <row r="4" spans="1:10" ht="24" customHeight="1" x14ac:dyDescent="0.25">
      <c r="A4" s="109" t="s">
        <v>160</v>
      </c>
      <c r="B4" s="109"/>
      <c r="C4" s="109"/>
      <c r="D4" s="109"/>
      <c r="E4" s="109"/>
      <c r="F4" s="109"/>
      <c r="G4" s="109"/>
      <c r="H4" s="109"/>
      <c r="I4" s="109"/>
      <c r="J4" s="109"/>
    </row>
    <row r="5" spans="1:10" ht="21.75" customHeight="1" x14ac:dyDescent="0.25">
      <c r="A5" s="42" t="s">
        <v>9</v>
      </c>
      <c r="B5" s="43">
        <v>9</v>
      </c>
      <c r="C5" s="44" t="s">
        <v>10</v>
      </c>
      <c r="D5" s="45">
        <v>15.5</v>
      </c>
      <c r="E5" s="45">
        <f>B5*D5</f>
        <v>139.5</v>
      </c>
      <c r="F5" s="46">
        <v>0.2</v>
      </c>
      <c r="G5" s="47" t="s">
        <v>46</v>
      </c>
      <c r="H5" s="45">
        <f>IF(UPPER(G5)="OUI",0,E5)</f>
        <v>139.5</v>
      </c>
      <c r="I5" s="45">
        <f>H5*(1+F5)</f>
        <v>167.4</v>
      </c>
      <c r="J5" s="44" t="s">
        <v>11</v>
      </c>
    </row>
    <row r="6" spans="1:10" ht="21.75" customHeight="1" x14ac:dyDescent="0.25">
      <c r="A6" s="48" t="s">
        <v>12</v>
      </c>
      <c r="B6" s="49">
        <v>4</v>
      </c>
      <c r="C6" s="50" t="s">
        <v>10</v>
      </c>
      <c r="D6" s="51">
        <v>23</v>
      </c>
      <c r="E6" s="51">
        <f>B6*D6</f>
        <v>92</v>
      </c>
      <c r="F6" s="52">
        <v>0.2</v>
      </c>
      <c r="G6" s="47" t="s">
        <v>46</v>
      </c>
      <c r="H6" s="51">
        <f>IF(UPPER(G6)="OUI",0,E6)</f>
        <v>92</v>
      </c>
      <c r="I6" s="51">
        <f>H6*(1+F6)</f>
        <v>110.39999999999999</v>
      </c>
      <c r="J6" s="50" t="s">
        <v>11</v>
      </c>
    </row>
    <row r="7" spans="1:10" ht="21.75" customHeight="1" x14ac:dyDescent="0.25">
      <c r="A7" s="42" t="s">
        <v>13</v>
      </c>
      <c r="B7" s="43">
        <v>5.4</v>
      </c>
      <c r="C7" s="44" t="s">
        <v>14</v>
      </c>
      <c r="D7" s="45">
        <v>23.8</v>
      </c>
      <c r="E7" s="45">
        <f>B7*D7</f>
        <v>128.52000000000001</v>
      </c>
      <c r="F7" s="46">
        <v>0.2</v>
      </c>
      <c r="G7" s="47" t="s">
        <v>46</v>
      </c>
      <c r="H7" s="45">
        <f>IF(UPPER(G7)="OUI",0,E7)</f>
        <v>128.52000000000001</v>
      </c>
      <c r="I7" s="45">
        <f>H7*(1+F7)</f>
        <v>154.22400000000002</v>
      </c>
      <c r="J7" s="44" t="s">
        <v>11</v>
      </c>
    </row>
    <row r="8" spans="1:10" ht="24" customHeight="1" x14ac:dyDescent="0.25">
      <c r="A8" s="110" t="s">
        <v>159</v>
      </c>
      <c r="B8" s="110"/>
      <c r="C8" s="110"/>
      <c r="D8" s="110"/>
      <c r="E8" s="110"/>
      <c r="F8" s="110"/>
      <c r="G8" s="110"/>
      <c r="H8" s="110"/>
      <c r="I8" s="110"/>
      <c r="J8" s="110"/>
    </row>
    <row r="9" spans="1:10" ht="21.75" customHeight="1" x14ac:dyDescent="0.25">
      <c r="A9" s="35" t="s">
        <v>15</v>
      </c>
      <c r="B9" s="54">
        <v>1</v>
      </c>
      <c r="C9" s="39" t="s">
        <v>10</v>
      </c>
      <c r="D9" s="55">
        <v>35</v>
      </c>
      <c r="E9" s="55">
        <f t="shared" ref="E9:E17" si="0">B9*D9</f>
        <v>35</v>
      </c>
      <c r="F9" s="56">
        <v>0.2</v>
      </c>
      <c r="G9" s="38" t="s">
        <v>47</v>
      </c>
      <c r="H9" s="55">
        <f t="shared" ref="H9:H17" si="1">IF(UPPER(G9)="OUI",0,E9)</f>
        <v>0</v>
      </c>
      <c r="I9" s="55">
        <f t="shared" ref="I9:I17" si="2">H9*(1+F9)</f>
        <v>0</v>
      </c>
      <c r="J9" s="39" t="s">
        <v>48</v>
      </c>
    </row>
    <row r="10" spans="1:10" ht="21.75" customHeight="1" x14ac:dyDescent="0.25">
      <c r="A10" s="57" t="s">
        <v>17</v>
      </c>
      <c r="B10" s="58">
        <v>1</v>
      </c>
      <c r="C10" s="59" t="s">
        <v>10</v>
      </c>
      <c r="D10" s="60">
        <v>110</v>
      </c>
      <c r="E10" s="60">
        <f t="shared" si="0"/>
        <v>110</v>
      </c>
      <c r="F10" s="61">
        <v>0.2</v>
      </c>
      <c r="G10" s="38" t="s">
        <v>47</v>
      </c>
      <c r="H10" s="60">
        <f t="shared" si="1"/>
        <v>0</v>
      </c>
      <c r="I10" s="60">
        <f t="shared" si="2"/>
        <v>0</v>
      </c>
      <c r="J10" s="59" t="s">
        <v>48</v>
      </c>
    </row>
    <row r="11" spans="1:10" ht="21.75" customHeight="1" x14ac:dyDescent="0.25">
      <c r="A11" s="35" t="s">
        <v>18</v>
      </c>
      <c r="B11" s="54">
        <v>1</v>
      </c>
      <c r="C11" s="39" t="s">
        <v>10</v>
      </c>
      <c r="D11" s="55">
        <v>15</v>
      </c>
      <c r="E11" s="55">
        <f t="shared" si="0"/>
        <v>15</v>
      </c>
      <c r="F11" s="56">
        <v>0.2</v>
      </c>
      <c r="G11" s="38" t="s">
        <v>47</v>
      </c>
      <c r="H11" s="55">
        <f t="shared" si="1"/>
        <v>0</v>
      </c>
      <c r="I11" s="55">
        <f t="shared" si="2"/>
        <v>0</v>
      </c>
      <c r="J11" s="39" t="s">
        <v>48</v>
      </c>
    </row>
    <row r="12" spans="1:10" ht="21.75" customHeight="1" x14ac:dyDescent="0.25">
      <c r="A12" s="57" t="s">
        <v>19</v>
      </c>
      <c r="B12" s="58">
        <v>1</v>
      </c>
      <c r="C12" s="59" t="s">
        <v>20</v>
      </c>
      <c r="D12" s="60">
        <v>10</v>
      </c>
      <c r="E12" s="60">
        <f t="shared" si="0"/>
        <v>10</v>
      </c>
      <c r="F12" s="61">
        <v>0.2</v>
      </c>
      <c r="G12" s="38" t="s">
        <v>47</v>
      </c>
      <c r="H12" s="60">
        <f t="shared" si="1"/>
        <v>0</v>
      </c>
      <c r="I12" s="60">
        <f t="shared" si="2"/>
        <v>0</v>
      </c>
      <c r="J12" s="59" t="s">
        <v>48</v>
      </c>
    </row>
    <row r="13" spans="1:10" ht="21.75" customHeight="1" x14ac:dyDescent="0.25">
      <c r="A13" s="35" t="s">
        <v>21</v>
      </c>
      <c r="B13" s="54">
        <v>1</v>
      </c>
      <c r="C13" s="39" t="s">
        <v>20</v>
      </c>
      <c r="D13" s="55">
        <v>20</v>
      </c>
      <c r="E13" s="55">
        <f t="shared" si="0"/>
        <v>20</v>
      </c>
      <c r="F13" s="56">
        <v>0.2</v>
      </c>
      <c r="G13" s="38" t="s">
        <v>47</v>
      </c>
      <c r="H13" s="55">
        <f t="shared" si="1"/>
        <v>0</v>
      </c>
      <c r="I13" s="55">
        <f t="shared" si="2"/>
        <v>0</v>
      </c>
      <c r="J13" s="39" t="s">
        <v>48</v>
      </c>
    </row>
    <row r="14" spans="1:10" ht="21.75" customHeight="1" x14ac:dyDescent="0.25">
      <c r="A14" s="57" t="s">
        <v>22</v>
      </c>
      <c r="B14" s="58">
        <v>1</v>
      </c>
      <c r="C14" s="59" t="s">
        <v>10</v>
      </c>
      <c r="D14" s="60">
        <v>200</v>
      </c>
      <c r="E14" s="60">
        <f t="shared" si="0"/>
        <v>200</v>
      </c>
      <c r="F14" s="61">
        <v>0.2</v>
      </c>
      <c r="G14" s="38" t="s">
        <v>47</v>
      </c>
      <c r="H14" s="60">
        <f t="shared" si="1"/>
        <v>0</v>
      </c>
      <c r="I14" s="60">
        <f t="shared" si="2"/>
        <v>0</v>
      </c>
      <c r="J14" s="59" t="s">
        <v>48</v>
      </c>
    </row>
    <row r="15" spans="1:10" ht="21.75" customHeight="1" x14ac:dyDescent="0.25">
      <c r="A15" s="35" t="s">
        <v>23</v>
      </c>
      <c r="B15" s="54">
        <v>1</v>
      </c>
      <c r="C15" s="39" t="s">
        <v>10</v>
      </c>
      <c r="D15" s="55">
        <v>170</v>
      </c>
      <c r="E15" s="55">
        <f t="shared" si="0"/>
        <v>170</v>
      </c>
      <c r="F15" s="56">
        <v>0.2</v>
      </c>
      <c r="G15" s="38" t="s">
        <v>47</v>
      </c>
      <c r="H15" s="55">
        <f t="shared" si="1"/>
        <v>0</v>
      </c>
      <c r="I15" s="55">
        <f t="shared" si="2"/>
        <v>0</v>
      </c>
      <c r="J15" s="39" t="s">
        <v>48</v>
      </c>
    </row>
    <row r="16" spans="1:10" ht="21.75" customHeight="1" x14ac:dyDescent="0.25">
      <c r="A16" s="57" t="s">
        <v>24</v>
      </c>
      <c r="B16" s="58">
        <v>1</v>
      </c>
      <c r="C16" s="59" t="s">
        <v>10</v>
      </c>
      <c r="D16" s="60">
        <v>5</v>
      </c>
      <c r="E16" s="60">
        <f t="shared" si="0"/>
        <v>5</v>
      </c>
      <c r="F16" s="61">
        <v>0.2</v>
      </c>
      <c r="G16" s="38" t="s">
        <v>47</v>
      </c>
      <c r="H16" s="60">
        <f t="shared" si="1"/>
        <v>0</v>
      </c>
      <c r="I16" s="60">
        <f t="shared" si="2"/>
        <v>0</v>
      </c>
      <c r="J16" s="59" t="s">
        <v>48</v>
      </c>
    </row>
    <row r="17" spans="1:10" ht="21.75" customHeight="1" x14ac:dyDescent="0.25">
      <c r="A17" s="35" t="s">
        <v>25</v>
      </c>
      <c r="B17" s="54">
        <v>1</v>
      </c>
      <c r="C17" s="39" t="s">
        <v>10</v>
      </c>
      <c r="D17" s="55">
        <v>60</v>
      </c>
      <c r="E17" s="55">
        <f t="shared" si="0"/>
        <v>60</v>
      </c>
      <c r="F17" s="56">
        <v>0.2</v>
      </c>
      <c r="G17" s="38" t="s">
        <v>47</v>
      </c>
      <c r="H17" s="55">
        <f t="shared" si="1"/>
        <v>0</v>
      </c>
      <c r="I17" s="55">
        <f t="shared" si="2"/>
        <v>0</v>
      </c>
      <c r="J17" s="39" t="s">
        <v>48</v>
      </c>
    </row>
    <row r="18" spans="1:10" ht="21.75" customHeight="1" x14ac:dyDescent="0.25">
      <c r="A18" s="53" t="s">
        <v>158</v>
      </c>
      <c r="B18" s="62"/>
      <c r="C18" s="62"/>
      <c r="D18" s="62"/>
      <c r="E18" s="62"/>
      <c r="F18" s="62"/>
      <c r="G18" s="62"/>
      <c r="H18" s="62"/>
      <c r="I18" s="62"/>
      <c r="J18" s="62"/>
    </row>
    <row r="19" spans="1:10" ht="27.75" customHeight="1" x14ac:dyDescent="0.25">
      <c r="A19" s="106" t="s">
        <v>26</v>
      </c>
      <c r="B19" s="106">
        <v>1</v>
      </c>
      <c r="C19" s="106" t="s">
        <v>10</v>
      </c>
      <c r="D19" s="106">
        <v>12</v>
      </c>
      <c r="E19" s="36">
        <f t="shared" ref="E19:E25" si="3">B19*D19</f>
        <v>12</v>
      </c>
      <c r="F19" s="37">
        <v>0.2</v>
      </c>
      <c r="G19" s="38" t="s">
        <v>47</v>
      </c>
      <c r="H19" s="36">
        <f t="shared" ref="H19:H25" si="4">IF(UPPER(G19)="OUI",0,E19)</f>
        <v>0</v>
      </c>
      <c r="I19" s="36">
        <f t="shared" ref="I19:I25" si="5">H19*(1+F19)</f>
        <v>0</v>
      </c>
      <c r="J19" s="39" t="s">
        <v>27</v>
      </c>
    </row>
    <row r="20" spans="1:10" ht="27.75" customHeight="1" x14ac:dyDescent="0.25">
      <c r="A20" s="106" t="s">
        <v>28</v>
      </c>
      <c r="B20" s="106">
        <v>1</v>
      </c>
      <c r="C20" s="106" t="s">
        <v>10</v>
      </c>
      <c r="D20" s="106">
        <v>14</v>
      </c>
      <c r="E20" s="36">
        <f t="shared" si="3"/>
        <v>14</v>
      </c>
      <c r="F20" s="37">
        <v>0.2</v>
      </c>
      <c r="G20" s="38" t="s">
        <v>47</v>
      </c>
      <c r="H20" s="36">
        <f t="shared" si="4"/>
        <v>0</v>
      </c>
      <c r="I20" s="36">
        <f t="shared" si="5"/>
        <v>0</v>
      </c>
      <c r="J20" s="39" t="s">
        <v>27</v>
      </c>
    </row>
    <row r="21" spans="1:10" ht="27.75" customHeight="1" x14ac:dyDescent="0.25">
      <c r="A21" s="106" t="s">
        <v>29</v>
      </c>
      <c r="B21" s="106">
        <v>1</v>
      </c>
      <c r="C21" s="106" t="s">
        <v>20</v>
      </c>
      <c r="D21" s="106">
        <v>18</v>
      </c>
      <c r="E21" s="36">
        <f t="shared" si="3"/>
        <v>18</v>
      </c>
      <c r="F21" s="37">
        <v>0.2</v>
      </c>
      <c r="G21" s="38" t="s">
        <v>47</v>
      </c>
      <c r="H21" s="36">
        <f t="shared" si="4"/>
        <v>0</v>
      </c>
      <c r="I21" s="36">
        <f t="shared" si="5"/>
        <v>0</v>
      </c>
      <c r="J21" s="39" t="s">
        <v>30</v>
      </c>
    </row>
    <row r="22" spans="1:10" ht="27.75" customHeight="1" x14ac:dyDescent="0.25">
      <c r="A22" s="106" t="s">
        <v>31</v>
      </c>
      <c r="B22" s="106">
        <v>1</v>
      </c>
      <c r="C22" s="106" t="s">
        <v>20</v>
      </c>
      <c r="D22" s="106">
        <v>22</v>
      </c>
      <c r="E22" s="36">
        <f t="shared" si="3"/>
        <v>22</v>
      </c>
      <c r="F22" s="37">
        <v>0.2</v>
      </c>
      <c r="G22" s="38" t="s">
        <v>47</v>
      </c>
      <c r="H22" s="36">
        <f t="shared" si="4"/>
        <v>0</v>
      </c>
      <c r="I22" s="36">
        <f t="shared" si="5"/>
        <v>0</v>
      </c>
      <c r="J22" s="39" t="s">
        <v>32</v>
      </c>
    </row>
    <row r="23" spans="1:10" ht="21.75" customHeight="1" x14ac:dyDescent="0.25">
      <c r="A23" s="35" t="s">
        <v>33</v>
      </c>
      <c r="B23" s="40">
        <v>1</v>
      </c>
      <c r="C23" s="39" t="s">
        <v>20</v>
      </c>
      <c r="D23" s="41">
        <v>15</v>
      </c>
      <c r="E23" s="36">
        <f t="shared" si="3"/>
        <v>15</v>
      </c>
      <c r="F23" s="37">
        <v>0.2</v>
      </c>
      <c r="G23" s="38" t="s">
        <v>47</v>
      </c>
      <c r="H23" s="36">
        <f t="shared" si="4"/>
        <v>0</v>
      </c>
      <c r="I23" s="36">
        <f t="shared" si="5"/>
        <v>0</v>
      </c>
      <c r="J23" s="39" t="s">
        <v>34</v>
      </c>
    </row>
    <row r="24" spans="1:10" ht="21.75" customHeight="1" x14ac:dyDescent="0.25">
      <c r="A24" s="106" t="s">
        <v>35</v>
      </c>
      <c r="B24" s="106">
        <v>1</v>
      </c>
      <c r="C24" s="106" t="s">
        <v>20</v>
      </c>
      <c r="D24" s="106">
        <v>18</v>
      </c>
      <c r="E24" s="106">
        <f t="shared" si="3"/>
        <v>18</v>
      </c>
      <c r="F24" s="106">
        <v>0.2</v>
      </c>
      <c r="G24" s="106" t="s">
        <v>46</v>
      </c>
      <c r="H24" s="106">
        <f t="shared" si="4"/>
        <v>18</v>
      </c>
      <c r="I24" s="106">
        <f t="shared" si="5"/>
        <v>21.599999999999998</v>
      </c>
      <c r="J24" s="106" t="s">
        <v>36</v>
      </c>
    </row>
    <row r="25" spans="1:10" ht="25.5" x14ac:dyDescent="0.25">
      <c r="A25" s="35" t="s">
        <v>37</v>
      </c>
      <c r="B25" s="40">
        <v>1</v>
      </c>
      <c r="C25" s="39" t="s">
        <v>20</v>
      </c>
      <c r="D25" s="41">
        <v>8</v>
      </c>
      <c r="E25" s="36">
        <f t="shared" si="3"/>
        <v>8</v>
      </c>
      <c r="F25" s="37">
        <v>0.2</v>
      </c>
      <c r="G25" s="38" t="s">
        <v>47</v>
      </c>
      <c r="H25" s="36">
        <f t="shared" si="4"/>
        <v>0</v>
      </c>
      <c r="I25" s="36">
        <f t="shared" si="5"/>
        <v>0</v>
      </c>
      <c r="J25" s="39" t="s">
        <v>38</v>
      </c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13" t="s">
        <v>49</v>
      </c>
      <c r="B27" s="6"/>
      <c r="C27" s="6"/>
      <c r="D27" s="7"/>
      <c r="E27" s="14">
        <f>SUM(E5,E6,E7,E9,E10,E11,E12,E13,E14,E15,E16,E17,E19,E20,E21,E22,E23,E24,E25)</f>
        <v>1092.02</v>
      </c>
      <c r="F27" s="15"/>
      <c r="G27" s="15"/>
      <c r="H27" s="15"/>
      <c r="I27" s="15"/>
      <c r="J27" s="15"/>
    </row>
    <row r="28" spans="1:10" x14ac:dyDescent="0.25">
      <c r="A28" s="5" t="s">
        <v>50</v>
      </c>
      <c r="B28" s="6"/>
      <c r="C28" s="6"/>
      <c r="D28" s="7"/>
      <c r="E28" s="9"/>
      <c r="F28" s="9"/>
      <c r="G28" s="9"/>
      <c r="H28" s="8">
        <f>SUM(H5,H6,H7,H9,H10,H11,H12,H13,H14,H15,H16,H17,H19,H20,H21,H22,H23,H24,H25)</f>
        <v>378.02</v>
      </c>
      <c r="I28" s="9"/>
      <c r="J28" s="9"/>
    </row>
    <row r="29" spans="1:10" ht="17.25" x14ac:dyDescent="0.25">
      <c r="A29" s="10" t="s">
        <v>51</v>
      </c>
      <c r="B29" s="6"/>
      <c r="C29" s="6"/>
      <c r="D29" s="7"/>
      <c r="E29" s="11"/>
      <c r="F29" s="11"/>
      <c r="G29" s="11"/>
      <c r="H29" s="11"/>
      <c r="I29" s="12">
        <f>SUM(I5,I6,I7,I9,I10,I11,I12,I13,I14,I15,I16,I17,I19,I20,I21,I22,I23,I24,I25)</f>
        <v>453.62400000000002</v>
      </c>
      <c r="J29" s="11"/>
    </row>
    <row r="30" spans="1:10" ht="15.75" x14ac:dyDescent="0.25">
      <c r="A30" s="16" t="s">
        <v>52</v>
      </c>
      <c r="B30" s="6"/>
      <c r="C30" s="6"/>
      <c r="D30" s="7"/>
      <c r="E30" s="17"/>
      <c r="F30" s="17"/>
      <c r="G30" s="17"/>
      <c r="H30" s="18">
        <f>E27-H28</f>
        <v>714</v>
      </c>
      <c r="I30" s="17"/>
      <c r="J30" s="17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24" x14ac:dyDescent="0.25">
      <c r="A32" s="33" t="s">
        <v>161</v>
      </c>
      <c r="B32" s="3"/>
      <c r="C32" s="3"/>
      <c r="D32" s="3"/>
      <c r="E32" s="3"/>
      <c r="F32" s="3"/>
      <c r="G32" s="3"/>
      <c r="H32" s="3"/>
      <c r="I32" s="3"/>
      <c r="J32" s="4"/>
    </row>
  </sheetData>
  <mergeCells count="9">
    <mergeCell ref="A20:D20"/>
    <mergeCell ref="A21:D21"/>
    <mergeCell ref="A22:D22"/>
    <mergeCell ref="A24:J24"/>
    <mergeCell ref="A1:J1"/>
    <mergeCell ref="A2:J2"/>
    <mergeCell ref="A4:J4"/>
    <mergeCell ref="A8:J8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zoomScaleNormal="100" workbookViewId="0">
      <pane ySplit="3" topLeftCell="A4" activePane="bottomLeft" state="frozen"/>
      <selection pane="bottomLeft" activeCell="A2" sqref="A2:G2"/>
    </sheetView>
  </sheetViews>
  <sheetFormatPr baseColWidth="10" defaultColWidth="8.7109375" defaultRowHeight="15" x14ac:dyDescent="0.25"/>
  <cols>
    <col min="1" max="1" width="32" customWidth="1"/>
    <col min="2" max="2" width="18" customWidth="1"/>
    <col min="3" max="3" width="30" customWidth="1"/>
    <col min="4" max="4" width="65" customWidth="1"/>
    <col min="5" max="5" width="16" customWidth="1"/>
    <col min="6" max="6" width="38" customWidth="1"/>
    <col min="7" max="7" width="45" customWidth="1"/>
  </cols>
  <sheetData>
    <row r="1" spans="1:7" ht="33.75" customHeight="1" x14ac:dyDescent="0.25">
      <c r="A1" s="103" t="s">
        <v>168</v>
      </c>
      <c r="B1" s="103"/>
      <c r="C1" s="103"/>
      <c r="D1" s="103"/>
      <c r="E1" s="103"/>
      <c r="F1" s="103"/>
      <c r="G1" s="103"/>
    </row>
    <row r="2" spans="1:7" ht="25.5" customHeight="1" x14ac:dyDescent="0.25">
      <c r="A2" s="112" t="s">
        <v>167</v>
      </c>
      <c r="B2" s="112"/>
      <c r="C2" s="112"/>
      <c r="D2" s="112"/>
      <c r="E2" s="112"/>
      <c r="F2" s="112"/>
      <c r="G2" s="112"/>
    </row>
    <row r="3" spans="1:7" ht="25.5" customHeight="1" x14ac:dyDescent="0.2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</row>
    <row r="4" spans="1:7" ht="21.75" customHeight="1" x14ac:dyDescent="0.25">
      <c r="A4" s="113" t="s">
        <v>162</v>
      </c>
      <c r="B4" s="113"/>
      <c r="C4" s="113"/>
      <c r="D4" s="113"/>
      <c r="E4" s="113"/>
      <c r="F4" s="113"/>
      <c r="G4" s="113"/>
    </row>
    <row r="5" spans="1:7" ht="36" customHeight="1" x14ac:dyDescent="0.25">
      <c r="A5" s="19" t="s">
        <v>15</v>
      </c>
      <c r="B5" s="19" t="s">
        <v>60</v>
      </c>
      <c r="C5" s="20" t="s">
        <v>61</v>
      </c>
      <c r="D5" s="20" t="s">
        <v>62</v>
      </c>
      <c r="E5" s="19" t="s">
        <v>63</v>
      </c>
      <c r="F5" s="19" t="s">
        <v>64</v>
      </c>
      <c r="G5" s="19" t="s">
        <v>65</v>
      </c>
    </row>
    <row r="6" spans="1:7" ht="36" customHeight="1" x14ac:dyDescent="0.25">
      <c r="A6" s="21" t="s">
        <v>66</v>
      </c>
      <c r="B6" s="21" t="s">
        <v>60</v>
      </c>
      <c r="C6" s="22" t="s">
        <v>61</v>
      </c>
      <c r="D6" s="22" t="s">
        <v>67</v>
      </c>
      <c r="E6" s="21" t="s">
        <v>68</v>
      </c>
      <c r="F6" s="21" t="s">
        <v>64</v>
      </c>
      <c r="G6" s="21" t="s">
        <v>69</v>
      </c>
    </row>
    <row r="7" spans="1:7" ht="36" customHeight="1" x14ac:dyDescent="0.25">
      <c r="A7" s="19" t="s">
        <v>25</v>
      </c>
      <c r="B7" s="19" t="s">
        <v>60</v>
      </c>
      <c r="C7" s="20" t="s">
        <v>61</v>
      </c>
      <c r="D7" s="20" t="s">
        <v>70</v>
      </c>
      <c r="E7" s="19" t="s">
        <v>71</v>
      </c>
      <c r="F7" s="19" t="s">
        <v>64</v>
      </c>
      <c r="G7" s="19" t="s">
        <v>72</v>
      </c>
    </row>
    <row r="8" spans="1:7" ht="36" customHeight="1" x14ac:dyDescent="0.25">
      <c r="A8" s="21" t="s">
        <v>73</v>
      </c>
      <c r="B8" s="21" t="s">
        <v>60</v>
      </c>
      <c r="C8" s="22" t="s">
        <v>61</v>
      </c>
      <c r="D8" s="22" t="s">
        <v>74</v>
      </c>
      <c r="E8" s="21" t="s">
        <v>75</v>
      </c>
      <c r="F8" s="21" t="s">
        <v>64</v>
      </c>
      <c r="G8" s="21" t="s">
        <v>76</v>
      </c>
    </row>
    <row r="9" spans="1:7" ht="36" customHeight="1" x14ac:dyDescent="0.25">
      <c r="A9" s="19" t="s">
        <v>77</v>
      </c>
      <c r="B9" s="19" t="s">
        <v>60</v>
      </c>
      <c r="C9" s="20" t="s">
        <v>61</v>
      </c>
      <c r="D9" s="20" t="s">
        <v>78</v>
      </c>
      <c r="E9" s="19" t="s">
        <v>79</v>
      </c>
      <c r="F9" s="19" t="s">
        <v>64</v>
      </c>
      <c r="G9" s="19" t="s">
        <v>80</v>
      </c>
    </row>
    <row r="10" spans="1:7" ht="36" customHeight="1" x14ac:dyDescent="0.25">
      <c r="A10" s="21" t="s">
        <v>81</v>
      </c>
      <c r="B10" s="21" t="s">
        <v>60</v>
      </c>
      <c r="C10" s="22" t="s">
        <v>61</v>
      </c>
      <c r="D10" s="22" t="s">
        <v>82</v>
      </c>
      <c r="E10" s="21" t="s">
        <v>83</v>
      </c>
      <c r="F10" s="21" t="s">
        <v>64</v>
      </c>
      <c r="G10" s="21" t="s">
        <v>84</v>
      </c>
    </row>
    <row r="11" spans="1:7" ht="21.75" customHeight="1" x14ac:dyDescent="0.25">
      <c r="A11" s="114" t="s">
        <v>163</v>
      </c>
      <c r="B11" s="114"/>
      <c r="C11" s="114"/>
      <c r="D11" s="114"/>
      <c r="E11" s="114"/>
      <c r="F11" s="114"/>
      <c r="G11" s="114"/>
    </row>
    <row r="12" spans="1:7" ht="36" customHeight="1" x14ac:dyDescent="0.25">
      <c r="A12" s="23" t="s">
        <v>22</v>
      </c>
      <c r="B12" s="23" t="s">
        <v>85</v>
      </c>
      <c r="C12" s="24" t="s">
        <v>86</v>
      </c>
      <c r="D12" s="24" t="s">
        <v>87</v>
      </c>
      <c r="E12" s="23" t="s">
        <v>88</v>
      </c>
      <c r="F12" s="23" t="s">
        <v>89</v>
      </c>
      <c r="G12" s="23" t="s">
        <v>90</v>
      </c>
    </row>
    <row r="13" spans="1:7" ht="36" customHeight="1" x14ac:dyDescent="0.25">
      <c r="A13" s="25" t="s">
        <v>23</v>
      </c>
      <c r="B13" s="25" t="s">
        <v>85</v>
      </c>
      <c r="C13" s="26" t="s">
        <v>86</v>
      </c>
      <c r="D13" s="26" t="s">
        <v>91</v>
      </c>
      <c r="E13" s="25" t="s">
        <v>92</v>
      </c>
      <c r="F13" s="25" t="s">
        <v>93</v>
      </c>
      <c r="G13" s="25" t="s">
        <v>94</v>
      </c>
    </row>
    <row r="14" spans="1:7" ht="36" customHeight="1" x14ac:dyDescent="0.25">
      <c r="A14" s="23" t="s">
        <v>23</v>
      </c>
      <c r="B14" s="23" t="s">
        <v>95</v>
      </c>
      <c r="C14" s="24" t="s">
        <v>96</v>
      </c>
      <c r="D14" s="24" t="s">
        <v>97</v>
      </c>
      <c r="E14" s="23" t="s">
        <v>98</v>
      </c>
      <c r="F14" s="23" t="s">
        <v>99</v>
      </c>
      <c r="G14" s="23" t="s">
        <v>100</v>
      </c>
    </row>
    <row r="15" spans="1:7" ht="36" customHeight="1" x14ac:dyDescent="0.25">
      <c r="A15" s="25" t="s">
        <v>17</v>
      </c>
      <c r="B15" s="25" t="s">
        <v>101</v>
      </c>
      <c r="C15" s="26" t="s">
        <v>102</v>
      </c>
      <c r="D15" s="26" t="s">
        <v>103</v>
      </c>
      <c r="E15" s="25" t="s">
        <v>104</v>
      </c>
      <c r="F15" s="25" t="s">
        <v>105</v>
      </c>
      <c r="G15" s="25" t="s">
        <v>106</v>
      </c>
    </row>
    <row r="16" spans="1:7" ht="36" customHeight="1" x14ac:dyDescent="0.25">
      <c r="A16" s="23" t="s">
        <v>17</v>
      </c>
      <c r="B16" s="23" t="s">
        <v>85</v>
      </c>
      <c r="C16" s="24" t="s">
        <v>86</v>
      </c>
      <c r="D16" s="24" t="s">
        <v>107</v>
      </c>
      <c r="E16" s="23" t="s">
        <v>108</v>
      </c>
      <c r="F16" s="23" t="s">
        <v>93</v>
      </c>
      <c r="G16" s="23" t="s">
        <v>109</v>
      </c>
    </row>
    <row r="17" spans="1:7" ht="21.75" customHeight="1" x14ac:dyDescent="0.25">
      <c r="A17" s="115" t="s">
        <v>164</v>
      </c>
      <c r="B17" s="115"/>
      <c r="C17" s="115"/>
      <c r="D17" s="115"/>
      <c r="E17" s="115"/>
      <c r="F17" s="115"/>
      <c r="G17" s="115"/>
    </row>
    <row r="18" spans="1:7" ht="36" customHeight="1" x14ac:dyDescent="0.25">
      <c r="A18" s="27" t="s">
        <v>110</v>
      </c>
      <c r="B18" s="27" t="s">
        <v>111</v>
      </c>
      <c r="C18" s="27" t="s">
        <v>112</v>
      </c>
      <c r="D18" s="27" t="s">
        <v>113</v>
      </c>
      <c r="E18" s="27" t="s">
        <v>114</v>
      </c>
      <c r="F18" s="27" t="s">
        <v>115</v>
      </c>
      <c r="G18" s="27" t="s">
        <v>116</v>
      </c>
    </row>
    <row r="19" spans="1:7" ht="21.75" customHeight="1" x14ac:dyDescent="0.25">
      <c r="A19" s="111" t="s">
        <v>165</v>
      </c>
      <c r="B19" s="111"/>
      <c r="C19" s="111"/>
      <c r="D19" s="111"/>
      <c r="E19" s="111"/>
      <c r="F19" s="111"/>
      <c r="G19" s="111"/>
    </row>
    <row r="20" spans="1:7" ht="36" customHeight="1" x14ac:dyDescent="0.25">
      <c r="A20" s="28" t="s">
        <v>117</v>
      </c>
      <c r="B20" s="28" t="s">
        <v>101</v>
      </c>
      <c r="C20" s="29" t="s">
        <v>102</v>
      </c>
      <c r="D20" s="29" t="s">
        <v>102</v>
      </c>
      <c r="E20" s="28" t="s">
        <v>118</v>
      </c>
      <c r="F20" s="28" t="s">
        <v>119</v>
      </c>
      <c r="G20" s="28" t="s">
        <v>120</v>
      </c>
    </row>
    <row r="21" spans="1:7" ht="36" customHeight="1" x14ac:dyDescent="0.25">
      <c r="A21" s="30" t="s">
        <v>117</v>
      </c>
      <c r="B21" s="30" t="s">
        <v>121</v>
      </c>
      <c r="C21" s="31" t="s">
        <v>122</v>
      </c>
      <c r="D21" s="31" t="s">
        <v>122</v>
      </c>
      <c r="E21" s="30" t="s">
        <v>118</v>
      </c>
      <c r="F21" s="30" t="s">
        <v>123</v>
      </c>
      <c r="G21" s="30" t="s">
        <v>124</v>
      </c>
    </row>
    <row r="22" spans="1:7" ht="25.5" x14ac:dyDescent="0.25">
      <c r="A22" s="101" t="s">
        <v>166</v>
      </c>
      <c r="B22" s="63"/>
      <c r="C22" s="63"/>
      <c r="D22" s="63"/>
      <c r="E22" s="63"/>
      <c r="F22" s="63"/>
      <c r="G22" s="63"/>
    </row>
    <row r="23" spans="1:7" ht="24" x14ac:dyDescent="0.25">
      <c r="A23" s="19" t="s">
        <v>125</v>
      </c>
      <c r="B23" s="19" t="s">
        <v>126</v>
      </c>
      <c r="C23" s="20" t="s">
        <v>102</v>
      </c>
      <c r="D23" s="20" t="s">
        <v>127</v>
      </c>
      <c r="E23" s="19" t="s">
        <v>128</v>
      </c>
      <c r="F23" s="19" t="s">
        <v>129</v>
      </c>
      <c r="G23" s="19" t="s">
        <v>130</v>
      </c>
    </row>
    <row r="24" spans="1:7" ht="24" x14ac:dyDescent="0.25">
      <c r="A24" s="19" t="s">
        <v>131</v>
      </c>
      <c r="B24" s="19" t="s">
        <v>126</v>
      </c>
      <c r="C24" s="20" t="s">
        <v>102</v>
      </c>
      <c r="D24" s="20" t="s">
        <v>127</v>
      </c>
      <c r="E24" s="19" t="s">
        <v>132</v>
      </c>
      <c r="F24" s="19" t="s">
        <v>129</v>
      </c>
      <c r="G24" s="19" t="s">
        <v>133</v>
      </c>
    </row>
    <row r="25" spans="1:7" ht="24" x14ac:dyDescent="0.25">
      <c r="A25" s="19" t="s">
        <v>29</v>
      </c>
      <c r="B25" s="19" t="s">
        <v>134</v>
      </c>
      <c r="C25" s="20" t="s">
        <v>135</v>
      </c>
      <c r="D25" s="20" t="s">
        <v>136</v>
      </c>
      <c r="E25" s="19" t="s">
        <v>137</v>
      </c>
      <c r="F25" s="19" t="s">
        <v>138</v>
      </c>
      <c r="G25" s="19" t="s">
        <v>139</v>
      </c>
    </row>
    <row r="26" spans="1:7" ht="24" x14ac:dyDescent="0.25">
      <c r="A26" s="19" t="s">
        <v>140</v>
      </c>
      <c r="B26" s="19" t="s">
        <v>141</v>
      </c>
      <c r="C26" s="20" t="s">
        <v>135</v>
      </c>
      <c r="D26" s="20" t="s">
        <v>142</v>
      </c>
      <c r="E26" s="19" t="s">
        <v>143</v>
      </c>
      <c r="F26" s="19" t="s">
        <v>144</v>
      </c>
      <c r="G26" s="19" t="s">
        <v>145</v>
      </c>
    </row>
    <row r="27" spans="1:7" ht="24" x14ac:dyDescent="0.25">
      <c r="A27" s="19" t="s">
        <v>146</v>
      </c>
      <c r="B27" s="19" t="s">
        <v>147</v>
      </c>
      <c r="C27" s="20" t="s">
        <v>102</v>
      </c>
      <c r="D27" s="20" t="s">
        <v>148</v>
      </c>
      <c r="E27" s="19" t="s">
        <v>132</v>
      </c>
      <c r="F27" s="19" t="s">
        <v>119</v>
      </c>
      <c r="G27" s="19" t="s">
        <v>149</v>
      </c>
    </row>
    <row r="28" spans="1:7" ht="24" x14ac:dyDescent="0.25">
      <c r="A28" s="19" t="s">
        <v>35</v>
      </c>
      <c r="B28" s="19" t="s">
        <v>150</v>
      </c>
      <c r="C28" s="20" t="s">
        <v>86</v>
      </c>
      <c r="D28" s="20" t="s">
        <v>151</v>
      </c>
      <c r="E28" s="19" t="s">
        <v>152</v>
      </c>
      <c r="F28" s="19" t="s">
        <v>93</v>
      </c>
      <c r="G28" s="19" t="s">
        <v>153</v>
      </c>
    </row>
    <row r="29" spans="1:7" ht="24" x14ac:dyDescent="0.25">
      <c r="A29" s="19" t="s">
        <v>37</v>
      </c>
      <c r="B29" s="19" t="s">
        <v>154</v>
      </c>
      <c r="C29" s="20" t="s">
        <v>86</v>
      </c>
      <c r="D29" s="20" t="s">
        <v>155</v>
      </c>
      <c r="E29" s="19" t="s">
        <v>156</v>
      </c>
      <c r="F29" s="19" t="s">
        <v>93</v>
      </c>
      <c r="G29" s="19" t="s">
        <v>157</v>
      </c>
    </row>
  </sheetData>
  <mergeCells count="6">
    <mergeCell ref="A19:G19"/>
    <mergeCell ref="A1:G1"/>
    <mergeCell ref="A2:G2"/>
    <mergeCell ref="A4:G4"/>
    <mergeCell ref="A11:G11"/>
    <mergeCell ref="A17:G17"/>
  </mergeCells>
  <hyperlinks>
    <hyperlink ref="C5" r:id="rId1" xr:uid="{00000000-0004-0000-0200-000000000000}"/>
    <hyperlink ref="D5" r:id="rId2" xr:uid="{00000000-0004-0000-0200-000001000000}"/>
    <hyperlink ref="C6" r:id="rId3" xr:uid="{00000000-0004-0000-0200-000002000000}"/>
    <hyperlink ref="D6" r:id="rId4" xr:uid="{00000000-0004-0000-0200-000003000000}"/>
    <hyperlink ref="C7" r:id="rId5" xr:uid="{00000000-0004-0000-0200-000004000000}"/>
    <hyperlink ref="D7" r:id="rId6" xr:uid="{00000000-0004-0000-0200-000005000000}"/>
    <hyperlink ref="C8" r:id="rId7" xr:uid="{00000000-0004-0000-0200-000006000000}"/>
    <hyperlink ref="D8" r:id="rId8" xr:uid="{00000000-0004-0000-0200-000007000000}"/>
    <hyperlink ref="C9" r:id="rId9" xr:uid="{00000000-0004-0000-0200-000008000000}"/>
    <hyperlink ref="D9" r:id="rId10" xr:uid="{00000000-0004-0000-0200-000009000000}"/>
    <hyperlink ref="C10" r:id="rId11" xr:uid="{00000000-0004-0000-0200-00000A000000}"/>
    <hyperlink ref="D10" r:id="rId12" xr:uid="{00000000-0004-0000-0200-00000B000000}"/>
    <hyperlink ref="C12" r:id="rId13" xr:uid="{00000000-0004-0000-0200-00000C000000}"/>
    <hyperlink ref="D12" r:id="rId14" xr:uid="{00000000-0004-0000-0200-00000D000000}"/>
    <hyperlink ref="C13" r:id="rId15" xr:uid="{00000000-0004-0000-0200-00000E000000}"/>
    <hyperlink ref="D13" r:id="rId16" xr:uid="{00000000-0004-0000-0200-00000F000000}"/>
    <hyperlink ref="C14" r:id="rId17" xr:uid="{00000000-0004-0000-0200-000010000000}"/>
    <hyperlink ref="D14" r:id="rId18" xr:uid="{00000000-0004-0000-0200-000011000000}"/>
    <hyperlink ref="C15" r:id="rId19" xr:uid="{00000000-0004-0000-0200-000012000000}"/>
    <hyperlink ref="D15" r:id="rId20" xr:uid="{00000000-0004-0000-0200-000013000000}"/>
    <hyperlink ref="C16" r:id="rId21" xr:uid="{00000000-0004-0000-0200-000014000000}"/>
    <hyperlink ref="D16" r:id="rId22" xr:uid="{00000000-0004-0000-0200-000015000000}"/>
    <hyperlink ref="C20" r:id="rId23" xr:uid="{00000000-0004-0000-0200-000016000000}"/>
    <hyperlink ref="D20" r:id="rId24" xr:uid="{00000000-0004-0000-0200-000017000000}"/>
    <hyperlink ref="C21" r:id="rId25" xr:uid="{00000000-0004-0000-0200-000018000000}"/>
    <hyperlink ref="D21" r:id="rId26" xr:uid="{00000000-0004-0000-0200-000019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Budget Total (Tout Neuf)</vt:lpstr>
      <vt:lpstr>Coût Réel (Déjà Possédé)</vt:lpstr>
      <vt:lpstr>Sources &amp; 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hd</cp:lastModifiedBy>
  <cp:revision>0</cp:revision>
  <dcterms:created xsi:type="dcterms:W3CDTF">2026-05-03T16:42:34Z</dcterms:created>
  <dcterms:modified xsi:type="dcterms:W3CDTF">2026-05-04T07:35:14Z</dcterms:modified>
  <dc:language>en-US</dc:language>
</cp:coreProperties>
</file>